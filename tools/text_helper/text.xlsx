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E:\GitHub\Poke_Transporter_GB\tools\text_helper\"/>
    </mc:Choice>
  </mc:AlternateContent>
  <xr:revisionPtr revIDLastSave="0" documentId="13_ncr:1_{F967C020-D9DB-4054-8D14-799C0A6B3879}" xr6:coauthVersionLast="47" xr6:coauthVersionMax="47" xr10:uidLastSave="{00000000-0000-0000-0000-000000000000}"/>
  <bookViews>
    <workbookView xWindow="-28920" yWindow="-120" windowWidth="29040" windowHeight="15840" activeTab="1" xr2:uid="{00000000-000D-0000-FFFF-FFFF00000000}"/>
  </bookViews>
  <sheets>
    <sheet name="Notes" sheetId="1" r:id="rId1"/>
    <sheet name="Translations" sheetId="2" r:id="rId2"/>
    <sheet name="Character Arrays" sheetId="3" r:id="rId3"/>
    <sheet name="Box Types" sheetId="4" r:id="rId4"/>
  </sheets>
  <calcPr calcId="191029"/>
</workbook>
</file>

<file path=xl/calcChain.xml><?xml version="1.0" encoding="utf-8"?>
<calcChain xmlns="http://schemas.openxmlformats.org/spreadsheetml/2006/main">
  <c r="F121" i="2" l="1"/>
  <c r="A121" i="2"/>
  <c r="F120" i="2"/>
  <c r="A120" i="2"/>
  <c r="F85" i="2"/>
  <c r="A85" i="2"/>
  <c r="A81" i="2"/>
  <c r="F373" i="2"/>
  <c r="A373" i="2"/>
  <c r="F372" i="2"/>
  <c r="A372" i="2"/>
  <c r="F371" i="2"/>
  <c r="A371" i="2"/>
  <c r="F370" i="2"/>
  <c r="A370" i="2"/>
  <c r="F369" i="2"/>
  <c r="A369" i="2"/>
  <c r="F368" i="2"/>
  <c r="A368" i="2"/>
  <c r="F367" i="2"/>
  <c r="A367" i="2"/>
  <c r="F366" i="2"/>
  <c r="A366" i="2"/>
  <c r="F365" i="2"/>
  <c r="A365" i="2"/>
  <c r="F364" i="2"/>
  <c r="A364" i="2"/>
  <c r="F363" i="2"/>
  <c r="A363" i="2"/>
  <c r="F362" i="2"/>
  <c r="A362" i="2"/>
  <c r="F361" i="2"/>
  <c r="A361" i="2"/>
  <c r="F360" i="2"/>
  <c r="A360" i="2"/>
  <c r="F359" i="2"/>
  <c r="A359" i="2"/>
  <c r="F358" i="2"/>
  <c r="A358" i="2"/>
  <c r="F357" i="2"/>
  <c r="A357" i="2"/>
  <c r="F356" i="2"/>
  <c r="A356" i="2"/>
  <c r="F355" i="2"/>
  <c r="A355" i="2"/>
  <c r="F354" i="2"/>
  <c r="A354" i="2"/>
  <c r="F353" i="2"/>
  <c r="A353" i="2"/>
  <c r="F352" i="2"/>
  <c r="A352" i="2"/>
  <c r="F351" i="2"/>
  <c r="A351" i="2"/>
  <c r="F350" i="2"/>
  <c r="A350" i="2"/>
  <c r="F349" i="2"/>
  <c r="A349" i="2"/>
  <c r="F348" i="2"/>
  <c r="A348" i="2"/>
  <c r="F347" i="2"/>
  <c r="A347" i="2"/>
  <c r="F346" i="2"/>
  <c r="A346" i="2"/>
  <c r="F345" i="2"/>
  <c r="A345" i="2"/>
  <c r="F344" i="2"/>
  <c r="A344" i="2"/>
  <c r="F343" i="2"/>
  <c r="A343" i="2"/>
  <c r="F342" i="2"/>
  <c r="A342" i="2"/>
  <c r="F341" i="2"/>
  <c r="A341" i="2"/>
  <c r="F340" i="2"/>
  <c r="A340" i="2"/>
  <c r="F339" i="2"/>
  <c r="A339" i="2"/>
  <c r="F338" i="2"/>
  <c r="A338" i="2"/>
  <c r="F337" i="2"/>
  <c r="A337" i="2"/>
  <c r="F336" i="2"/>
  <c r="A336" i="2"/>
  <c r="F335" i="2"/>
  <c r="A335" i="2"/>
  <c r="F334" i="2"/>
  <c r="A334" i="2"/>
  <c r="F333" i="2"/>
  <c r="A333" i="2"/>
  <c r="F332" i="2"/>
  <c r="A332" i="2"/>
  <c r="F331" i="2"/>
  <c r="A331" i="2"/>
  <c r="F330" i="2"/>
  <c r="A330" i="2"/>
  <c r="F329" i="2"/>
  <c r="A329" i="2"/>
  <c r="F328" i="2"/>
  <c r="A328" i="2"/>
  <c r="F327" i="2"/>
  <c r="A327" i="2"/>
  <c r="F326" i="2"/>
  <c r="A326" i="2"/>
  <c r="F325" i="2"/>
  <c r="A325" i="2"/>
  <c r="F324" i="2"/>
  <c r="A324" i="2"/>
  <c r="F323" i="2"/>
  <c r="A323" i="2"/>
  <c r="F322" i="2"/>
  <c r="A322" i="2"/>
  <c r="F321" i="2"/>
  <c r="A321" i="2"/>
  <c r="F320" i="2"/>
  <c r="A320" i="2"/>
  <c r="F319" i="2"/>
  <c r="A319" i="2"/>
  <c r="F318" i="2"/>
  <c r="A318" i="2"/>
  <c r="F317" i="2"/>
  <c r="A317" i="2"/>
  <c r="F316" i="2"/>
  <c r="A316" i="2"/>
  <c r="F315" i="2"/>
  <c r="A315" i="2"/>
  <c r="F314" i="2"/>
  <c r="A314" i="2"/>
  <c r="F313" i="2"/>
  <c r="A313" i="2"/>
  <c r="F312" i="2"/>
  <c r="A312" i="2"/>
  <c r="F311" i="2"/>
  <c r="A311" i="2"/>
  <c r="F310" i="2"/>
  <c r="A310" i="2"/>
  <c r="F309" i="2"/>
  <c r="A309" i="2"/>
  <c r="F308" i="2"/>
  <c r="A308" i="2"/>
  <c r="F307" i="2"/>
  <c r="A307" i="2"/>
  <c r="F306" i="2"/>
  <c r="A306" i="2"/>
  <c r="F305" i="2"/>
  <c r="A305" i="2"/>
  <c r="F304" i="2"/>
  <c r="A304" i="2"/>
  <c r="F303" i="2"/>
  <c r="A303" i="2"/>
  <c r="F302" i="2"/>
  <c r="A302" i="2"/>
  <c r="F301" i="2"/>
  <c r="A301" i="2"/>
  <c r="F300" i="2"/>
  <c r="A300" i="2"/>
  <c r="F299" i="2"/>
  <c r="A299" i="2"/>
  <c r="F298" i="2"/>
  <c r="A298" i="2"/>
  <c r="F297" i="2"/>
  <c r="A297" i="2"/>
  <c r="F296" i="2"/>
  <c r="A296" i="2"/>
  <c r="F295" i="2"/>
  <c r="A295" i="2"/>
  <c r="F294" i="2"/>
  <c r="A294" i="2"/>
  <c r="F293" i="2"/>
  <c r="A293" i="2"/>
  <c r="F292" i="2"/>
  <c r="A292" i="2"/>
  <c r="F291" i="2"/>
  <c r="A291" i="2"/>
  <c r="F290" i="2"/>
  <c r="A290" i="2"/>
  <c r="F289" i="2"/>
  <c r="A289" i="2"/>
  <c r="F288" i="2"/>
  <c r="A288" i="2"/>
  <c r="F287" i="2"/>
  <c r="A287" i="2"/>
  <c r="F286" i="2"/>
  <c r="A286" i="2"/>
  <c r="F285" i="2"/>
  <c r="A285" i="2"/>
  <c r="F284" i="2"/>
  <c r="A284" i="2"/>
  <c r="F283" i="2"/>
  <c r="A283" i="2"/>
  <c r="F282" i="2"/>
  <c r="A282" i="2"/>
  <c r="F281" i="2"/>
  <c r="A281" i="2"/>
  <c r="F280" i="2"/>
  <c r="A280" i="2"/>
  <c r="F279" i="2"/>
  <c r="A279" i="2"/>
  <c r="F278" i="2"/>
  <c r="A278" i="2"/>
  <c r="F277" i="2"/>
  <c r="A277" i="2"/>
  <c r="F276" i="2"/>
  <c r="A276" i="2"/>
  <c r="F275" i="2"/>
  <c r="A275" i="2"/>
  <c r="F274" i="2"/>
  <c r="A274" i="2"/>
  <c r="F273" i="2"/>
  <c r="A273" i="2"/>
  <c r="F272" i="2"/>
  <c r="A272" i="2"/>
  <c r="F271" i="2"/>
  <c r="A271" i="2"/>
  <c r="F270" i="2"/>
  <c r="A270" i="2"/>
  <c r="F269" i="2"/>
  <c r="A269" i="2"/>
  <c r="F268" i="2"/>
  <c r="A268" i="2"/>
  <c r="F267" i="2"/>
  <c r="A267" i="2"/>
  <c r="F266" i="2"/>
  <c r="A266" i="2"/>
  <c r="F265" i="2"/>
  <c r="A265" i="2"/>
  <c r="F264" i="2"/>
  <c r="A264" i="2"/>
  <c r="F263" i="2"/>
  <c r="A263" i="2"/>
  <c r="F262" i="2"/>
  <c r="A262" i="2"/>
  <c r="F261" i="2"/>
  <c r="A261" i="2"/>
  <c r="F260" i="2"/>
  <c r="A260" i="2"/>
  <c r="F259" i="2"/>
  <c r="A259" i="2"/>
  <c r="F258" i="2"/>
  <c r="A258" i="2"/>
  <c r="F257" i="2"/>
  <c r="A257" i="2"/>
  <c r="F256" i="2"/>
  <c r="A256" i="2"/>
  <c r="F255" i="2"/>
  <c r="A255" i="2"/>
  <c r="F254" i="2"/>
  <c r="A254" i="2"/>
  <c r="F253" i="2"/>
  <c r="A253" i="2"/>
  <c r="F252" i="2"/>
  <c r="A252" i="2"/>
  <c r="F251" i="2"/>
  <c r="A251" i="2"/>
  <c r="F250" i="2"/>
  <c r="A250" i="2"/>
  <c r="F249" i="2"/>
  <c r="A249" i="2"/>
  <c r="F248" i="2"/>
  <c r="A248" i="2"/>
  <c r="F247" i="2"/>
  <c r="A247" i="2"/>
  <c r="F246" i="2"/>
  <c r="A246" i="2"/>
  <c r="F245" i="2"/>
  <c r="A245" i="2"/>
  <c r="F244" i="2"/>
  <c r="A244" i="2"/>
  <c r="F243" i="2"/>
  <c r="A243" i="2"/>
  <c r="F242" i="2"/>
  <c r="A242" i="2"/>
  <c r="F241" i="2"/>
  <c r="A241" i="2"/>
  <c r="F240" i="2"/>
  <c r="A240" i="2"/>
  <c r="F239" i="2"/>
  <c r="A239" i="2"/>
  <c r="F238" i="2"/>
  <c r="A238" i="2"/>
  <c r="F237" i="2"/>
  <c r="A237" i="2"/>
  <c r="F236" i="2"/>
  <c r="A236" i="2"/>
  <c r="F235" i="2"/>
  <c r="A235" i="2"/>
  <c r="F234" i="2"/>
  <c r="A234" i="2"/>
  <c r="F233" i="2"/>
  <c r="A233" i="2"/>
  <c r="F232" i="2"/>
  <c r="A232" i="2"/>
  <c r="F231" i="2"/>
  <c r="A231" i="2"/>
  <c r="F230" i="2"/>
  <c r="A230" i="2"/>
  <c r="F229" i="2"/>
  <c r="A229" i="2"/>
  <c r="F228" i="2"/>
  <c r="A228" i="2"/>
  <c r="F227" i="2"/>
  <c r="A227" i="2"/>
  <c r="F226" i="2"/>
  <c r="A226" i="2"/>
  <c r="F225" i="2"/>
  <c r="A225" i="2"/>
  <c r="F224" i="2"/>
  <c r="A224" i="2"/>
  <c r="F223" i="2"/>
  <c r="A223" i="2"/>
  <c r="F222" i="2"/>
  <c r="A222" i="2"/>
  <c r="F221" i="2"/>
  <c r="A221" i="2"/>
  <c r="F220" i="2"/>
  <c r="A220" i="2"/>
  <c r="F219" i="2"/>
  <c r="A219" i="2"/>
  <c r="F218" i="2"/>
  <c r="A218" i="2"/>
  <c r="F217" i="2"/>
  <c r="A217" i="2"/>
  <c r="F216" i="2"/>
  <c r="A216" i="2"/>
  <c r="F215" i="2"/>
  <c r="A215" i="2"/>
  <c r="F214" i="2"/>
  <c r="A214" i="2"/>
  <c r="F213" i="2"/>
  <c r="A213" i="2"/>
  <c r="F212" i="2"/>
  <c r="A212" i="2"/>
  <c r="F211" i="2"/>
  <c r="A211" i="2"/>
  <c r="F210" i="2"/>
  <c r="A210" i="2"/>
  <c r="F209" i="2"/>
  <c r="A209" i="2"/>
  <c r="F208" i="2"/>
  <c r="A208" i="2"/>
  <c r="F207" i="2"/>
  <c r="A207" i="2"/>
  <c r="F206" i="2"/>
  <c r="A206" i="2"/>
  <c r="F205" i="2"/>
  <c r="A205" i="2"/>
  <c r="F204" i="2"/>
  <c r="A204" i="2"/>
  <c r="F203" i="2"/>
  <c r="A203" i="2"/>
  <c r="F202" i="2"/>
  <c r="A202" i="2"/>
  <c r="F201" i="2"/>
  <c r="A201" i="2"/>
  <c r="F200" i="2"/>
  <c r="A200" i="2"/>
  <c r="F199" i="2"/>
  <c r="A199" i="2"/>
  <c r="F198" i="2"/>
  <c r="A198" i="2"/>
  <c r="F197" i="2"/>
  <c r="A197" i="2"/>
  <c r="F196" i="2"/>
  <c r="A196" i="2"/>
  <c r="F195" i="2"/>
  <c r="A195" i="2"/>
  <c r="F194" i="2"/>
  <c r="A194" i="2"/>
  <c r="F193" i="2"/>
  <c r="A193" i="2"/>
  <c r="F192" i="2"/>
  <c r="A192" i="2"/>
  <c r="F191" i="2"/>
  <c r="A191" i="2"/>
  <c r="F190" i="2"/>
  <c r="A190" i="2"/>
  <c r="F189" i="2"/>
  <c r="A189" i="2"/>
  <c r="F188" i="2"/>
  <c r="A188" i="2"/>
  <c r="F187" i="2"/>
  <c r="A187" i="2"/>
  <c r="F186" i="2"/>
  <c r="A186" i="2"/>
  <c r="F185" i="2"/>
  <c r="A185" i="2"/>
  <c r="F184" i="2"/>
  <c r="A184" i="2"/>
  <c r="F183" i="2"/>
  <c r="A183" i="2"/>
  <c r="F182" i="2"/>
  <c r="A182" i="2"/>
  <c r="F181" i="2"/>
  <c r="A181" i="2"/>
  <c r="F180" i="2"/>
  <c r="A180" i="2"/>
  <c r="F179" i="2"/>
  <c r="A179" i="2"/>
  <c r="F178" i="2"/>
  <c r="A178" i="2"/>
  <c r="F177" i="2"/>
  <c r="A177" i="2"/>
  <c r="F176" i="2"/>
  <c r="A176" i="2"/>
  <c r="F175" i="2"/>
  <c r="A175" i="2"/>
  <c r="F174" i="2"/>
  <c r="A174" i="2"/>
  <c r="F173" i="2"/>
  <c r="A173" i="2"/>
  <c r="F172" i="2"/>
  <c r="A172" i="2"/>
  <c r="F171" i="2"/>
  <c r="A171" i="2"/>
  <c r="F170" i="2"/>
  <c r="A170" i="2"/>
  <c r="F169" i="2"/>
  <c r="A169" i="2"/>
  <c r="F168" i="2"/>
  <c r="A168" i="2"/>
  <c r="F167" i="2"/>
  <c r="A167" i="2"/>
  <c r="F166" i="2"/>
  <c r="A166" i="2"/>
  <c r="F165" i="2"/>
  <c r="A165" i="2"/>
  <c r="F164" i="2"/>
  <c r="A164" i="2"/>
  <c r="F163" i="2"/>
  <c r="A163" i="2"/>
  <c r="F162" i="2"/>
  <c r="A162" i="2"/>
  <c r="F161" i="2"/>
  <c r="A161" i="2"/>
  <c r="F160" i="2"/>
  <c r="A160" i="2"/>
  <c r="F159" i="2"/>
  <c r="A159" i="2"/>
  <c r="F158" i="2"/>
  <c r="A158" i="2"/>
  <c r="F157" i="2"/>
  <c r="A157" i="2"/>
  <c r="F156" i="2"/>
  <c r="A156" i="2"/>
  <c r="F155" i="2"/>
  <c r="A155" i="2"/>
  <c r="F154" i="2"/>
  <c r="A154" i="2"/>
  <c r="F153" i="2"/>
  <c r="A153" i="2"/>
  <c r="F152" i="2"/>
  <c r="A152" i="2"/>
  <c r="F151" i="2"/>
  <c r="A151" i="2"/>
  <c r="F150" i="2"/>
  <c r="A150" i="2"/>
  <c r="F149" i="2"/>
  <c r="A149" i="2"/>
  <c r="F148" i="2"/>
  <c r="A148" i="2"/>
  <c r="F147" i="2"/>
  <c r="A147" i="2"/>
  <c r="F146" i="2"/>
  <c r="A146" i="2"/>
  <c r="F145" i="2"/>
  <c r="A145" i="2"/>
  <c r="F144" i="2"/>
  <c r="A144" i="2"/>
  <c r="F143" i="2"/>
  <c r="A143" i="2"/>
  <c r="F142" i="2"/>
  <c r="A142" i="2"/>
  <c r="F141" i="2"/>
  <c r="A141" i="2"/>
  <c r="F140" i="2"/>
  <c r="A140" i="2"/>
  <c r="F139" i="2"/>
  <c r="A139" i="2"/>
  <c r="F138" i="2"/>
  <c r="A138" i="2"/>
  <c r="F137" i="2"/>
  <c r="A137" i="2"/>
  <c r="F136" i="2"/>
  <c r="A136" i="2"/>
  <c r="F135" i="2"/>
  <c r="A135" i="2"/>
  <c r="F134" i="2"/>
  <c r="A134" i="2"/>
  <c r="F133" i="2"/>
  <c r="A133" i="2"/>
  <c r="F132" i="2"/>
  <c r="A132" i="2"/>
  <c r="F131" i="2"/>
  <c r="A131" i="2"/>
  <c r="F130" i="2"/>
  <c r="A130" i="2"/>
  <c r="F129" i="2"/>
  <c r="A129" i="2"/>
  <c r="F128" i="2"/>
  <c r="A128" i="2"/>
  <c r="F127" i="2"/>
  <c r="A127" i="2"/>
  <c r="F126" i="2"/>
  <c r="A126" i="2"/>
  <c r="F125" i="2"/>
  <c r="A125" i="2"/>
  <c r="F124" i="2"/>
  <c r="A124" i="2"/>
  <c r="F123" i="2"/>
  <c r="A123" i="2"/>
  <c r="F122" i="2"/>
  <c r="A122" i="2"/>
  <c r="F119" i="2"/>
  <c r="A119" i="2"/>
  <c r="F118" i="2"/>
  <c r="A118" i="2"/>
  <c r="F117" i="2"/>
  <c r="A117" i="2"/>
  <c r="F116" i="2"/>
  <c r="A116" i="2"/>
  <c r="F115" i="2"/>
  <c r="A115" i="2"/>
  <c r="F114" i="2"/>
  <c r="A114" i="2"/>
  <c r="F113" i="2"/>
  <c r="A113" i="2"/>
  <c r="F112" i="2"/>
  <c r="A112" i="2"/>
  <c r="F111" i="2"/>
  <c r="A111" i="2"/>
  <c r="F110" i="2"/>
  <c r="A110" i="2"/>
  <c r="F109" i="2"/>
  <c r="A109" i="2"/>
  <c r="F108" i="2"/>
  <c r="A108" i="2"/>
  <c r="F107" i="2"/>
  <c r="A107" i="2"/>
  <c r="F106" i="2"/>
  <c r="A106" i="2"/>
  <c r="F105" i="2"/>
  <c r="A105" i="2"/>
  <c r="F104" i="2"/>
  <c r="A104" i="2"/>
  <c r="F103" i="2"/>
  <c r="A103" i="2"/>
  <c r="F102" i="2"/>
  <c r="A102" i="2"/>
  <c r="F101" i="2"/>
  <c r="A101" i="2"/>
  <c r="F100" i="2"/>
  <c r="A100" i="2"/>
  <c r="F99" i="2"/>
  <c r="A99" i="2"/>
  <c r="F98" i="2"/>
  <c r="A98" i="2"/>
  <c r="F97" i="2"/>
  <c r="A97" i="2"/>
  <c r="F96" i="2"/>
  <c r="A96" i="2"/>
  <c r="F95" i="2"/>
  <c r="A95" i="2"/>
  <c r="F94" i="2"/>
  <c r="A94" i="2"/>
  <c r="F93" i="2"/>
  <c r="A93" i="2"/>
  <c r="F92" i="2"/>
  <c r="A92" i="2"/>
  <c r="F91" i="2"/>
  <c r="A91" i="2"/>
  <c r="F90" i="2"/>
  <c r="A90" i="2"/>
  <c r="F89" i="2"/>
  <c r="A89" i="2"/>
  <c r="F88" i="2"/>
  <c r="A88" i="2"/>
  <c r="F87" i="2"/>
  <c r="A87" i="2"/>
  <c r="F86" i="2"/>
  <c r="A86" i="2"/>
  <c r="F84" i="2"/>
  <c r="A84" i="2"/>
  <c r="F83" i="2"/>
  <c r="A83" i="2"/>
  <c r="F82" i="2"/>
  <c r="A82" i="2"/>
  <c r="F81" i="2"/>
  <c r="F80" i="2"/>
  <c r="A80" i="2"/>
  <c r="F79" i="2"/>
  <c r="A79" i="2"/>
  <c r="F78" i="2"/>
  <c r="A78" i="2"/>
  <c r="F77" i="2"/>
  <c r="A77" i="2"/>
  <c r="F76" i="2"/>
  <c r="A76" i="2"/>
  <c r="F75" i="2"/>
  <c r="A75" i="2"/>
  <c r="F74" i="2"/>
  <c r="A74" i="2"/>
  <c r="F73" i="2"/>
  <c r="A73" i="2"/>
  <c r="F72" i="2"/>
  <c r="A72" i="2"/>
  <c r="F71" i="2"/>
  <c r="A71" i="2"/>
  <c r="F70" i="2"/>
  <c r="A70" i="2"/>
  <c r="F69" i="2"/>
  <c r="A69" i="2"/>
  <c r="F68" i="2"/>
  <c r="A68" i="2"/>
  <c r="F67" i="2"/>
  <c r="A67" i="2"/>
  <c r="F66" i="2"/>
  <c r="A66" i="2"/>
  <c r="F65" i="2"/>
  <c r="A65" i="2"/>
  <c r="F64" i="2"/>
  <c r="A64" i="2"/>
  <c r="F63" i="2"/>
  <c r="A63" i="2"/>
  <c r="F62" i="2"/>
  <c r="A62" i="2"/>
  <c r="F61" i="2"/>
  <c r="A61" i="2"/>
  <c r="F60" i="2"/>
  <c r="A60" i="2"/>
  <c r="F59" i="2"/>
  <c r="A59" i="2"/>
  <c r="F58" i="2"/>
  <c r="A58" i="2"/>
  <c r="F57" i="2"/>
  <c r="A57" i="2"/>
  <c r="F56" i="2"/>
  <c r="A56" i="2"/>
  <c r="F55" i="2"/>
  <c r="A55" i="2"/>
  <c r="F54" i="2"/>
  <c r="A54" i="2"/>
  <c r="F53" i="2"/>
  <c r="A53" i="2"/>
  <c r="F52" i="2"/>
  <c r="A52" i="2"/>
  <c r="F51" i="2"/>
  <c r="A51" i="2"/>
  <c r="F50" i="2"/>
  <c r="A50" i="2"/>
  <c r="F49" i="2"/>
  <c r="A49" i="2"/>
  <c r="F48" i="2"/>
  <c r="A48" i="2"/>
  <c r="F47" i="2"/>
  <c r="A47" i="2"/>
  <c r="F46" i="2"/>
  <c r="A46" i="2"/>
  <c r="F45" i="2"/>
  <c r="A45" i="2"/>
  <c r="F44" i="2"/>
  <c r="A44" i="2"/>
  <c r="F43" i="2"/>
  <c r="A43" i="2"/>
  <c r="F42" i="2"/>
  <c r="A42" i="2"/>
  <c r="F41" i="2"/>
  <c r="A41" i="2"/>
  <c r="F40" i="2"/>
  <c r="A40" i="2"/>
  <c r="F39" i="2"/>
  <c r="A39" i="2"/>
  <c r="F38" i="2"/>
  <c r="A38" i="2"/>
  <c r="F37" i="2"/>
  <c r="A37" i="2"/>
  <c r="F36" i="2"/>
  <c r="A36" i="2"/>
  <c r="F35" i="2"/>
  <c r="A35" i="2"/>
  <c r="F34" i="2"/>
  <c r="A34" i="2"/>
  <c r="F33" i="2"/>
  <c r="A33" i="2"/>
  <c r="F32" i="2"/>
  <c r="A32" i="2"/>
  <c r="F31" i="2"/>
  <c r="A31" i="2"/>
  <c r="F30" i="2"/>
  <c r="A30" i="2"/>
  <c r="F29" i="2"/>
  <c r="A29" i="2"/>
  <c r="F28" i="2"/>
  <c r="A28" i="2"/>
  <c r="F27" i="2"/>
  <c r="A27" i="2"/>
  <c r="F26" i="2"/>
  <c r="A26" i="2"/>
  <c r="F25" i="2"/>
  <c r="A25" i="2"/>
  <c r="F24" i="2"/>
  <c r="A24" i="2"/>
  <c r="F23" i="2"/>
  <c r="A23" i="2"/>
  <c r="F22" i="2"/>
  <c r="A22" i="2"/>
  <c r="F21" i="2"/>
  <c r="A21" i="2"/>
  <c r="F20" i="2"/>
  <c r="A20" i="2"/>
  <c r="F19" i="2"/>
  <c r="A19" i="2"/>
  <c r="F18" i="2"/>
  <c r="A18" i="2"/>
  <c r="F17" i="2"/>
  <c r="A17" i="2"/>
  <c r="F16" i="2"/>
  <c r="A16" i="2"/>
  <c r="F15" i="2"/>
  <c r="A15" i="2"/>
  <c r="F14" i="2"/>
  <c r="A14" i="2"/>
  <c r="F13" i="2"/>
  <c r="A13" i="2"/>
  <c r="F12" i="2"/>
  <c r="A12" i="2"/>
  <c r="F11" i="2"/>
  <c r="A11" i="2"/>
  <c r="F10" i="2"/>
  <c r="A10" i="2"/>
  <c r="F9" i="2"/>
  <c r="A9" i="2"/>
  <c r="F8" i="2"/>
  <c r="A8" i="2"/>
  <c r="F7" i="2"/>
  <c r="A7" i="2"/>
  <c r="F6" i="2"/>
  <c r="A6" i="2"/>
  <c r="F5" i="2"/>
  <c r="A5" i="2"/>
  <c r="F4" i="2"/>
  <c r="A4" i="2"/>
  <c r="F3" i="2"/>
  <c r="A3" i="2"/>
  <c r="F2" i="2"/>
  <c r="A2" i="2"/>
</calcChain>
</file>

<file path=xl/sharedStrings.xml><?xml version="1.0" encoding="utf-8"?>
<sst xmlns="http://schemas.openxmlformats.org/spreadsheetml/2006/main" count="7455" uniqueCount="5195">
  <si>
    <r>
      <rPr>
        <sz val="14"/>
        <color theme="1"/>
        <rFont val="Arial"/>
      </rPr>
      <t xml:space="preserve">Hello!! Thank you for your help on Poké Transporter GB!
</t>
    </r>
    <r>
      <rPr>
        <sz val="10"/>
        <color theme="1"/>
        <rFont val="Arial"/>
      </rPr>
      <t xml:space="preserve">
A few things to help you through your translation journey:
- A list of valid characters can be found as one of the sheet's pages. This also includes escape characters for things like newlines and user input.
- The ROM can be built through the Bronzor Bot on the Discord server!
- A text debug mode will also be included on the main menu. From here you can scroll through the various text sections and view each dialoge box.
- Translation boxes have a maximum size of 1024 characters. If this is exceeded, the bot will alert you. If shortening the dialogue isn't possible, let me know and I can make modifications to account for it!
PLEASE feel free to email me (TheOfficialGearsOfProgress@gmail.com) or message me on Discord (@starport75). I am </t>
    </r>
    <r>
      <rPr>
        <i/>
        <sz val="10"/>
        <color theme="1"/>
        <rFont val="Arial"/>
      </rPr>
      <t>always</t>
    </r>
    <r>
      <rPr>
        <sz val="10"/>
        <color theme="1"/>
        <rFont val="Arial"/>
      </rPr>
      <t xml:space="preserve"> happy to help!! :D 
Also, please add your name to the following rows so I can add you to the credits!</t>
    </r>
  </si>
  <si>
    <t>Japanese:</t>
  </si>
  <si>
    <t>Peter Dubois (petrosjd)</t>
  </si>
  <si>
    <t>English:</t>
  </si>
  <si>
    <t>The Gears of Progress</t>
  </si>
  <si>
    <t>French:</t>
  </si>
  <si>
    <t>Lugiadrien</t>
  </si>
  <si>
    <t>German:</t>
  </si>
  <si>
    <t>Ayumea</t>
  </si>
  <si>
    <t>Italian:</t>
  </si>
  <si>
    <t>Lagger and alechieffi</t>
  </si>
  <si>
    <t>Spanish (EU):</t>
  </si>
  <si>
    <t>Yuraite</t>
  </si>
  <si>
    <t>Spanish (LA):</t>
  </si>
  <si>
    <t>Cristóbal Sepúlveda</t>
  </si>
  <si>
    <t>Brazilian Portuguese:</t>
  </si>
  <si>
    <t>Hyd~ (i'm gonna do a revision when i'm not sleepy in another day xD)</t>
  </si>
  <si>
    <t>Korean:</t>
  </si>
  <si>
    <t>Peter Dubois (petrosjd) (for now)</t>
  </si>
  <si>
    <t>ID</t>
  </si>
  <si>
    <t>Text Section</t>
  </si>
  <si>
    <t>Text Key</t>
  </si>
  <si>
    <t>Box Type</t>
  </si>
  <si>
    <t>Notes</t>
  </si>
  <si>
    <t>Source Text</t>
  </si>
  <si>
    <t xml:space="preserve">Japanese </t>
  </si>
  <si>
    <t>English</t>
  </si>
  <si>
    <t>French</t>
  </si>
  <si>
    <t>German</t>
  </si>
  <si>
    <t>Italian</t>
  </si>
  <si>
    <t>Spanish (EU)</t>
  </si>
  <si>
    <t>Spanish (LA)</t>
  </si>
  <si>
    <t>Korean</t>
  </si>
  <si>
    <t>Chinese (Simplified)</t>
  </si>
  <si>
    <t>Chinese (Traditional)</t>
  </si>
  <si>
    <t>Brazilian Portuguese</t>
  </si>
  <si>
    <t>PTGB</t>
  </si>
  <si>
    <t>DIA_OPEN</t>
  </si>
  <si>
    <t>dialougeBox</t>
  </si>
  <si>
    <t>ヤッホー！　アタシはマコモ。ごらんのとおりの{NEW}けんきゅうかよ。{NEW}ちなみに、けんきゅうしているのはトレーナーについてなの！{CLR}アタシのゆめは、いろんなトレーナーのレポートを{NEW}あつめることだけどね、おおきなしんぽはまだないの‥‥{CLR}だからね、それまでは、アタシはむかしのともだちとほかの{NEW}プロジェクトにとりくんでいる！{CLR}アタシのじもとのちほうには、ポケモンのゆめをげんじつの{NEW}かたちにできるばしょがあるの。{CLR}ということは、ゆめのなかでほかにであうポケモンは{NEW}げんじつになるのよ！{CLR}すごいことなの。でもね、アタシのもくひょうはおなじことを{NEW}することなの、ただトレーナーのゆめをかわりにね！{NEW}だからアナタのてだすけがひつようなの！{CLR}アナタのゆめからポケモンをできるだけおおく{NEW}ひきだしたいのよ！{CLR}アタシのゆめのポケモンずかん、りゃくして、ゆめずかんに{NEW}とうろくしたいポケモンは、250ひきあまりいるの。{CLR}でも、でるポケモンはなんでもアナタにもたせてあげるね。{NEW}だって、けっきょくアナタのゆめからくるのね！{CLR}さいごにひとつなんだけどね、レポートのバックアップを{NEW}オススメするわよ。まんがいちにそなえて、なにかもんだいが{NEW}あったらね！{CLR}これですべてかなーとおもう‥‥　はじめるじゅんびが{NEW}できたら、いつでもアタシにしらせてね！</t>
  </si>
  <si>
    <t>Hey there! I’m PROF. FENNEL.{NEW}As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wrong!{NEW}I think that’s everything… whenever you’re ready to start, just let me know!</t>
  </si>
  <si>
    <t>Saluuut! Je me présente: ORYSE!{NEW}Une scientifique, comme tu peux le voir.{NEW}Et ma spécialité, c’est les DRESSEURS!{NEW}Mon rêve est de réunir les sauvegardes de DRESSEURS, mais je n’ai toujours fais aucune découverte…{NEW}Du coup en attendant, j’ai travaillé sur un autre projet avec une vieille connaissance!Là d’où je viens, il y a un lieu qui matérialise les rêves des POKéMON. Faisant que chaque POKéMON qu’ils y rencontraient devenait réel! C’est méga cool, mais aujourd’hui mon but est de parvenir à la même chose avec ceux des DRESSEURS. Et c’est là que t’interviens!{NEW}Je voudais extraitre des rêves autant de POKéMON que possible! Il y a à peu près 250 POKéMON que je voudrais répertorier dans mon POKéDEX onirique, ou ONIRIDEX pour faire court. Bien entendu tu pourras garder tous les POKéMON que t’y rencontreras, ce sont les tiens après tout! Oh, une dernière chose, les backups de sauvegardes sont recommandées, juste au cas où quelque chose tourne mal! Bon, je pense que tout est prêt… Dis-moi quand tu l’es aussi!</t>
  </si>
  <si>
    <t>Ciao! Sono la PROF.SSA ZANIA.{NEW}Come puoi vedere, sono una scienziata. Infatti, quello che sto studiando sono gli ALLENATORI! Il mio sogno è quello di collezionare i dati di salvataggio dei vari ALLENATORI, ma non ho fatto progressi…{NEW}Perciò nel frattempo ho lavorato su un altro progetto con un mio vecchio amico! Nella mia regione natale, c’è un luogo che può far diventare i sogni dei POKéMON realtà. Ciò significa che ogni POKéMON che incontrano nei loro sogni diventa reale! È fantastico, ma il mio scopo è quello di fare lo stesso- ma con il sogno di un allenatore! È per questo che ho bisogno del tuo aiuto! Voglio riuscire a prendere quanti più POKéMON possibile dai tuoi sogni! Ci sono 250 POKéMON che vorrei catalogare nel mio DREAM POKéDEX- detto anche DREAM DEX. Ma potrai tenere tutti i POKéMON- d’altronde provengono dai tuoi sogni!{NEW}{NEW}Ultima cosa:{NEW}Fai un backup dei salvataggi.{NEW} Quando sei pronto, fammi sapere!</t>
  </si>
  <si>
    <t>¡Hola! Soy la PROF. FENNEL y soy una científica. De hecho, ahora mismo estoy investigando a los ENTRENADORES. Mi sueño es recopilar partidas de distintos ENTRENADORES, pero hasta ahora no he avanzado mucho…{NEW}¡Así que estoy trabajando en un proyecto diferente con uno de mis viejos amigos! En mi región natal existe un lugar capaz de hacer realidad los sueños de los POKéMON.{NEW}¡Esto significa que cualquier POKéMON que conozcan en sus sueños se vuelve real! ¡Es algo increíble!{NEW}Y yo quiero lograr lo mismo… ¡pero con los sueños de un ENTRENADOR! ¡Y para eso necesito tu ayuda!{NEW}¡Quiero traer de tus sueños a tantos POKéMON como pueda! Hay poco más de 250 POKéMON que quiero catalogar en mi POKéDEX de los Sueños, o DREAM DEX, para abreviar.{NEW}Pero dejaré que te quedes con cualquier POKéMON, ¡ya que son de tus sueños! Una última cosa: te recomiendo hacer copias de seguridad de las partidas, solo por si algo llegara a salir mal.{NEW}Creo que eso es todo… ¡Avísame cuando quieras empezar!</t>
  </si>
  <si>
    <t>얏호-! 나는 주리야. 보다시피 연구가. 참고로 연구하고 있는 것은 트레이너에 대해서! 내 꿈은 여러 트레이너의 세이브파일을 모으는 것이지만, 큰 진척은 아직 없어...{NEW}그러니까 그동안은, 오랜 친구와 다른 프로젝트에 몰두하고 있어!</t>
  </si>
  <si>
    <t>Olá! Eu sou a PROF.ª FENNEL. E como pode ver, sou uma cientista. Na verdade, meu tema de pesquisa são TREINADORES! Meu sonho é coletar arquivos de salvamento de vários TREINADORES, mas ainda não tive grandes progressos…{NEW}Então, enquanto isso, eu tenho trabalhado em um projeto diferente com um de meus velhos amigos! Na minha terra natal, existe um local que pode tornar os sonhos dos POKéMON em realidade! Isso é fantástico, mas meu objetivo é fazer o mesmo, mas com os sonhos dos TREINADORES! É por isso que eu preciso da sua ajuda! Eu quero trazer dos seus sonhos quantos POKéMON forem possíveis! Existem cerca de 250 POKéMON que eu quero catalogar na minha POKéDEX dos SONHOS, ou se preferir a DREAM DEX. Mas eu vou deixar você ficar com todos os POKéMON, já que eles são dos seus sonhos afinal! Um aviso: recomendo fazer backup dos seus arquivos, por segurança caso algo dê errado!{NEW} Eu acho que isso é tudo… assim que estiver pronto, me avise!</t>
  </si>
  <si>
    <t>DIA_E4</t>
  </si>
  <si>
    <t>ヤッホー、トレーナー！　アタシたちのけんきゅうを{NEW}てつだってくれることにかんげきしているけどね、さいこうの{NEW}なかのさいこうがひつようなの！{CLR}してんのうをたおして、チャンピオンになったあと、{NEW}もどってきてね！</t>
  </si>
  <si>
    <t>Hi TRAINER!{NEW}{NEW}I’m thrilled you’ve decided to help with our research, but we need the best of the best! Come back after you become CHAMPION!</t>
  </si>
  <si>
    <t>Salut DRESSEUR!{NEW}{NEW}Je suis très heureuse que tu veuilles m’aider dans mes recherches, mais j’ai besoin de la crème de la crème! Reviens me voir une fois que tu auras décroché le titre de MAITRE!</t>
  </si>
  <si>
    <t>Ciao ALLENATORE!{NEW}{NEW}Sono felice che tu abbia deciso di aiutarci con la nostra ricerca, ma abbiamo bisogno del meglio del meglio! Torna dopo aver battuto i SUPERQUATTRO ed essere diventato CAMPIONE!</t>
  </si>
  <si>
    <t>¡Hola, ENTRENADOR! Me emociona que decidieras ayudarme con la investigación, ¡pero necesitamos a los mejores! ¡Alguien mejor que nadie más! ¡Vuelve cuando hayas vencido a la ÉLITE CUATRO y seas el CAMPEÓN!</t>
  </si>
  <si>
    <t xml:space="preserve">얏호, 트레이너! </t>
  </si>
  <si>
    <t>Oi, TREINADOR! Estou muito feliz que você decidiu me ajudar com a minha pesquisa, mas nós precisamos do melhor dos melhores! Volte depois que você tenha derrotado a ELITE DOS QUATRO e se tornado CAMPEÃO!</t>
  </si>
  <si>
    <t>DIA_MG_FRLGE</t>
  </si>
  <si>
    <r>
      <t xml:space="preserve">"LINK TOGETHER WITH ALL" comes from </t>
    </r>
    <r>
      <rPr>
        <u/>
        <sz val="10"/>
        <color rgb="FF1155CC"/>
        <rFont val="Arial"/>
      </rPr>
      <t xml:space="preserve">this </t>
    </r>
    <r>
      <rPr>
        <sz val="10"/>
        <color rgb="FF000000"/>
        <rFont val="Arial"/>
        <scheme val="minor"/>
      </rPr>
      <t>chart</t>
    </r>
  </si>
  <si>
    <t>ごめんなさいね、トレーナー！　はじめられるまえに{NEW}しないといけないことがあともうひとつあるのよー：{NEW}ふしぎなおくりものをゆうこうにしないとね！{CLR}もよりのフレンドリィショップにいって、アンケートに{NEW}つぎのようにこたえてね：{NEW}ともだち　いっぱい　ふしぎ　つうしん。{CLR}そのあと、てつづきはもうバッチリなはずよ！{NEW}じゃあ、またねー！</t>
  </si>
  <si>
    <t>Sorry TRAINER, one more thing to take care of before we can begin- you need to enable MYSTERY GIFT! Head to the nearest POKé MART and fill out the questionnaire as follows: LINK TOGETHER WITH ALL. After that, you should be all set to go! See you soon!</t>
  </si>
  <si>
    <t>Oh DRESSEUR, désolée, dernière petite chose avant de pouvoir commencer, il faut d’abord activer le CADEAU MYSTERE! Pour ce faire, rends-toi dans la BOUTIQUE POKéMON la plus proche. Ensuite, réponds «CONNEXION AVEC LES DRESSEUR» au questionnaire sur le comptoir. Après ça, tout devrait être bon!{NEW}On se revoit après!</t>
  </si>
  <si>
    <t xml:space="preserve">Mi dispiace ALLENATORE, c’è ancora una cosa da sistemare prima di poter iniziare. Devi sbloccare il DONO SEGRETO! Dirigiti al POKéMON-MARKET più vicino e completa il questionario come segue: INSIEME IN LINK ! Dopodiché, dovrebbe essere tutto pronto per partire! Arrivederci! </t>
  </si>
  <si>
    <t>Lo siento, ENTRENADOR, una cosa más antes de empezar: ¡tienes que activar el REGALO MISTERIOSO! Dirígete a la TIENDA POKéMON más cercana y llena el cuestionario de la siguiente manera: CONEXIÓN CON TODOS. Después de eso, ¡todo debería estar listo! ¡Nos vemos pronto!</t>
  </si>
  <si>
    <t>Me desculpe, TREINADOR, uma última coisa precisa ser feita antes de começarmos. Você precisa ativar o PRESENTE MISTERIOSO! Vá até um POKé LOJA e preencha o questionário no balcão da seguinte forma: LINK TOGETHER WITH ALL. Depois disso, você estará pronto para começar. Nos vemos em breve!</t>
  </si>
  <si>
    <t>DIA_MG_RS</t>
  </si>
  <si>
    <r>
      <t xml:space="preserve">"MYSTERY GIFT IS EXCITING" comes from </t>
    </r>
    <r>
      <rPr>
        <u/>
        <sz val="10"/>
        <color rgb="FF1155CC"/>
        <rFont val="Arial"/>
      </rPr>
      <t>this</t>
    </r>
    <r>
      <rPr>
        <sz val="10"/>
        <color rgb="FF000000"/>
        <rFont val="Arial"/>
        <scheme val="minor"/>
      </rPr>
      <t xml:space="preserve"> chart</t>
    </r>
  </si>
  <si>
    <t>ごめんなさいね、トレーナー！　はじめられるまえに{NEW}しないといけないことがあともうひとつあるのよー：{NEW}ふしぎなできごとをゆうこうにしないとね！{CLR}トウカシティのポケモンセンターにいって、パソコンの{NEW}よこのひとにこれをつたえてね：{NEW}ふしぎ　できごと　わくわく　ドキドキ。{CLR}そのあと、てつづきはもうバッチリなはずよ！{NEW}じゃあ、またねー！</t>
  </si>
  <si>
    <t>Sorry TRAINER, one more thing to take care of before we can begin- you need to enable MYSTERY EVENT! Head to the PETALBURG POKéMON CENTER and tell the man next to the PC: MYSTERY EVENT IS EXCITING. After that, you should be all set to go! See you soon!</t>
  </si>
  <si>
    <t>Oh DRESSEUR, désolée, dernière petite chose avant de pouvoir commencer, il faut d’abord activer le CADEAU MYSTERE! Pour ce faire, rends-toi au CENTRE POKéMON de CLEMENTI-VILLE. Ensuite, réponds «EVENEMENT MYSTERE EST PASSIONNANT» à l’homme debout à côté du PC. Après ça, tout devrait être bon!{NEW}On se revoit après!</t>
  </si>
  <si>
    <t xml:space="preserve">Mi dispiace ALLENATORE, c’è ancora una cosa da sistemare prima di poter iniziare. Devi sbloccare l’EVENTO SEGRETO! Dirigiti al CENTRO POKéMON di PETALIPOLI e dire all’uomo vicino al PC: EVENTO SEGRETO È FANTASTICO. Dopodiché, dovrebbe essere tutto pronto per partire! Arrivederci! </t>
  </si>
  <si>
    <t>Lo siento, ENTRENADOR, algo más antes de empezar: ¡tienes que activar el EVENTO MISTERIOSO!{NEW}Ve al CENTRO POKéMON de PETALBURGO y dile al hombre que está junto a la PC: EVENTO MISTERIOSO ES DEMASIADO.{NEW}¡Luego todo debería estar listo! ¡Nos vemos!</t>
  </si>
  <si>
    <t>Me desculpe, TREINADOR, uma última coisa precisa ser feita antes de começarmos. Você precisa ativar o PRESENTE MISTERIOSO! Vá ao CENTRO POKéMON em PETALBURG e diga o seguinte para o homem perto do PC: MYSTERY EVENT IS EXCITING. Depois disso, estaremos prontos para começar. Nos vemos em breve!</t>
  </si>
  <si>
    <t>DIA_LETS_START</t>
  </si>
  <si>
    <t>よし、かんぺき！　これですべてのひつようなじょうほうを{NEW}あつめたのよ！　さて、はじめよー！</t>
  </si>
  <si>
    <t>Perfect, that’s all the information I need! Let’s get started!</t>
  </si>
  <si>
    <t>Parfait!{NEW}J’ai toutes les informations dont j’avais besoin, alors commençons!</t>
  </si>
  <si>
    <t>Perfetto, queste sono tutte le informazioni di cui avevo bisogno! Iniziamo!</t>
  </si>
  <si>
    <t>¡Muy bien, esa es toda la información que necesito!{NEW}¡Empecemos!</t>
  </si>
  <si>
    <t>Perfeito, essa é toda a informação que eu preciso! Vamos começar!</t>
  </si>
  <si>
    <t>DIA_START</t>
  </si>
  <si>
    <t>もうひとつのゲームボーイでは、てんそうもとの{NEW}ゲームをきどうしてください。{CLR}そのゲームでは、いまのボックスがてんそうもとの{NEW}ボックスになっていることをかくにんしてね。{CLR}つぎに、りょうほうのほんたいをゲームボーイカラー{NEW}せんようつうしんケーブルでつなげてね。{CLR}じゅんびができたら、つうしんケーブルクラブの{NEW}うけつけスタッフにこえをかけて、つうしんを{NEW}かいししてね。</t>
  </si>
  <si>
    <t>On a second Game Boy, please load the game you wish to transfer from. In this same game, make sure your current BOX is the one you want to transfer from. Then connect the systems together using a Game Boy Color Link Cable. Once you’re ready, talk to the Cable Club attendant and initiate the connection.</t>
  </si>
  <si>
    <t>Sur une autre Game Boy, peu importe le modèle, allume la version source que tu m’as indiquée précédemment.{NEW}Dans cette même version, veille aussi à ce que la BOITE active du PC soit bien celle que tu désires transférer. Ensuite, connecte les deux consoles avec un Câble Link de Game Boy Color. Enfin, dès que tout est prêt, va parler à l’hôtesse du Club Link et lance la connexion.</t>
  </si>
  <si>
    <t>Su un altro sistema Game Boy, carica la versione di gioco POKéMON per Game Boy da cui desideri trasferire i dati. Nella versione di gioco POKéMON per Game Boy avviata, seleziona il box dal quale vuoi trasferire i POKéMON. Poi collega il Game Boy Advance ad un altro sistema Game Boy usando un Cavo Game Link per Game Boy Color. Quando sei pronto, parla con l’addetta del CLUB VIA CAVO per iniziare la connessione.</t>
  </si>
  <si>
    <t>En un segundo Game Boy, carga el juego de POKéMON desde el que vas a transferir. En tu juego de POKéMON de Game Boy, asegúrate de que tu caja actual sea la que quieres transferir.{NEW}Luego, conecta este Game Boy Advance al otro Game Boy usando un cable link de Game Boy Color.{NEW}Cuando todo esté listo, habla con la encargada del Club de Cable e inicia la conexión.</t>
  </si>
  <si>
    <t>Em um outro Game Boy, por favor inicie o jogo POKéMON de onde quer transferir os POKéMON. No seu jogo POKéMON de Game Boy, marque como atual a CAIXA onde estão os POKéMON que deseja transferir. Então conecte este Game Boy Advance ao outro Game Boy usando o Cabo Link do Game Boy. Quando estiver tudo pronto, aperte o botão A e fale com a moça no CENTRO POKéMON, e então inicie a conexão.</t>
  </si>
  <si>
    <t>DIA_TRANS_GOOD</t>
  </si>
  <si>
    <t>すごい！　すばらしい！　すべてかんぺきに{NEW}うまくいったのよ！</t>
  </si>
  <si>
    <t>Amazing! Fantastic!{NEW}Everything went perfectly!</t>
  </si>
  <si>
    <t>Top méga cool!{NEW}Tout s’est déroulé à merveille!</t>
  </si>
  <si>
    <t>Sorprendente! Fantastico!{NEW}Tutto ha funzionato perfettamente!</t>
  </si>
  <si>
    <t>¡Increíble! ¡Fantástico! ¡Todo salió a la perfección!</t>
  </si>
  <si>
    <t>Incrível! Fantástico! Tudo funcionou perfeitamente!</t>
  </si>
  <si>
    <t>DIA_NEW_DEX</t>
  </si>
  <si>
    <t>てんそうしたポケモンのなか、ゆめずかんにとうろくして{NEW}いない、あらたなポケモンがすくなくともいっぴきいる{NEW}みたいなのよ！　すばらしい！{CLR}そのポケモンとアナタへのごほうびとして、{NEW}なにかちょーあまいものをもたせておくね！</t>
  </si>
  <si>
    <t>It looks like there’s at least one new POKéMON here that isn’t in the DREAM DEX! I’ll give them something extra sweet as a reward for you both.</t>
  </si>
  <si>
    <t>Tiens, il a ici au moins un nouveau POKéMON absent de l’ONIRIDEX! Je vais lui donner une petite douceur en récompense pour vous deux.</t>
  </si>
  <si>
    <t>Sembra che almeno un nuovo POKéMON non sia registrato nel DREAM DEX! Per questo, gli darò qualcosa di extra come sorpresa per entrambi.</t>
  </si>
  <si>
    <t>¡Parece que hay al menos un POKéMON nuevo aquí que no está en el DREAM DEX! Les daré algo extra dulce como recompensa para ambos.</t>
  </si>
  <si>
    <t>Parece que temos pelo menos um novo POKéMON aqui que ainda não estava na DREAM DEX! Eu vou dar a eles um presentinho como recompensa para vocês.</t>
  </si>
  <si>
    <t>DIA_NO_NEW_DEX</t>
  </si>
  <si>
    <t>ゆめずかんにあたらしいデータがなかったみたいなんだけど、{NEW}それでもだいじょうぶなのよ！{CLR}けんきゅうけっかをかくにんするために、ふくすうのテストを{NEW}することがじゅうようなのよ！</t>
  </si>
  <si>
    <t>It doesn’t look like there’s anything new for your DREAM DEX, but that’s okay! It’s important to confirm research results with multiple tests!</t>
  </si>
  <si>
    <t>Rien de nouveau pour l’ONIRIDEX visiblement, mais c’est pas grave!{NEW}C’est tout aussi important de faire de multiples tests pour étayer les résultats!</t>
  </si>
  <si>
    <t>Non sembra che ci sia nulla di nuovo per il tuo DREAM DEX, ma va bene! È importante confermare i risultati della ricerca con test molteplici!</t>
  </si>
  <si>
    <t>No parece que haya nada nuevo para tu DREAM DEX, ¡pero no importa! ¡Es importante confirmar los resultados de la investigación con múltiples pruebas!</t>
  </si>
  <si>
    <t>Não parece que temos nada novo para sua DREAM DEX, mas tá tudo bem! É importante confirmar os resultados da pesquisa com várias tentativas!</t>
  </si>
  <si>
    <t>DIA_SEND_FRIEND_KANTO</t>
  </si>
  <si>
    <t>アナタがうけとれるようにこのポケモンをアタシのともだちに{NEW}おくるよ！　7のしまにあるポケモンセンターのすぐ{NEW}みなみにすんでいるの！</t>
  </si>
  <si>
    <t>I’m going to send these POKéMON to one of my friends so that you can pick them up! They live just south of the POKéMON CENTER on SEVEN ISLAND!</t>
  </si>
  <si>
    <t>Je vais envoyer ces POKéMON à un de mes amis afin que tu puisses les récupérer! Il vit au sud du CENTRE POKéMON de l’ILE 7!</t>
  </si>
  <si>
    <t>Ora invierò questi POKéMON ad uno dei miei amici, così li potrai ritirare! Lui vive a sud del CENTRO POKéMON su SETTIMISOLA!</t>
  </si>
  <si>
    <t>¡Voy a enviar estos POKéMON a uno de mis amigos para que puedas recogerlos! ¡Viven justo al sur del CENTRO POKéMON en ISLA SÉTIMA!</t>
  </si>
  <si>
    <t>Eu vou enviar esses POKéMON para um de meus amigos para que você possa pegá-los!  Ele vive ao sul do CENTRO POKéMON na ILHA SETE!</t>
  </si>
  <si>
    <t>DIA_SEND_FRIEND_HOENN_RS</t>
  </si>
  <si>
    <t>アナタがうけとれるようにこのポケモンをアタシのともだちに{NEW}おくるよ！　トクサネシティにあるポケモンセンターのすぐ{NEW}なんとうにすんでいるの！</t>
  </si>
  <si>
    <t>I’m going to send these POKéMON to one of my friends so that you can pick them up! They live just southeast of the POKéMON CENTER in MOSSDEEP CITY!</t>
  </si>
  <si>
    <t>Je vais envoyer ces POKéMON à un de mes amis afin que tu puisses les récupérer! Il vit au sud-est du CENTRE POKéMON d’ALGATIA!</t>
  </si>
  <si>
    <t>Ora invierò questi POKéMON ad uno dei miei amici, così li potrai ritirare! Lui vive a sud-est del CENTRO POKéMON a VERDEAZZUPOLI!</t>
  </si>
  <si>
    <t>¡Voy a enviar estos POKéMON a uno de mis amigos para que puedas recogerlos! ¡Viven justo al sureste del CENTRO POKéMON en CIUDAD ALGARIA!</t>
  </si>
  <si>
    <t>Eu vou enviar esses POKéMON para um de meus amigos para que você possa pegá-los!  Ele vive ao sudeste do CENTRO POKéMON na CIDADE DE MOSSDEEP!</t>
  </si>
  <si>
    <t>DIA_SEND_FRIEND_HOENN_E</t>
  </si>
  <si>
    <t>アナタがうけとれるようにこのポケモンをアタシのともだちに{NEW}おくるよ！　ルネシティにあるポケモンセンターのすぐ{NEW}なんとうにすんでいるの！</t>
  </si>
  <si>
    <t>I’m going to send these POKéMON to one of my friends so that you can pick them up! They live just southeast of the POKéMON CENTER in SOOTOPOLIS CITY!</t>
  </si>
  <si>
    <t>Je vais envoyer ces POKéMON à un de mes amis afin que tu puisses les récupérer! Il vit au sud-est du CENTRE POKéMON d’ATALANOPOLIS!</t>
  </si>
  <si>
    <t>Ora invierò questi POKéMON ad uno dei miei amici, così li potrai ritirare! Lui vive a sud-est del CENTRO POKéMON a CENERIDE!</t>
  </si>
  <si>
    <t>¡Voy a enviar estos POKéMON a uno de mis amigos para que puedas recogerlos! ¡Viven justo al sureste del CENTRO POKéMON en ARRECÍPOLIS!</t>
  </si>
  <si>
    <t>Eu vou enviar esses POKéMON para um de meus amigos para que você possa pegá-los!  Ele vive ao sudeste do CENTRO POKéMON na CIDADE DE SOOTOPOLIS!</t>
  </si>
  <si>
    <t>DIA_THANK</t>
  </si>
  <si>
    <t>てだすけ、ほんとうにありがとうよ！　またポケモンを{NEW}てんそうしたかったら、いつでもアタシにしらせてね！{NEW}じゃあ、またねー！</t>
  </si>
  <si>
    <t>Thank you so much for your help! Whenever you want to transfer more POKéMON, just let me know! See you around!</t>
  </si>
  <si>
    <t>Merci beaucoup pour ton aide!{NEW}Reviens quand tu veux si t’as encore besoin de transférer des POKéMON!{NEW}À pluuus!</t>
  </si>
  <si>
    <t>Grazie mille per il tuo aiuto!{NEW}Quando vorrai trasferire altri POKéMON, fammi sapere! A presto!</t>
  </si>
  <si>
    <t>¡Muchas gracias por tu ayuda! ¡Cuando quieras transferir más POKéMON, solo házmelo saber! ¡Nos vemos!</t>
  </si>
  <si>
    <t>Muito obrigada por sua ajuda! Sempre que quiser transferir mais POKéMON, é só avisar! Até mais!</t>
  </si>
  <si>
    <t>DIA_GET_MON</t>
  </si>
  <si>
    <t>-</t>
  </si>
  <si>
    <t>unused, will be removed</t>
  </si>
  <si>
    <t>inutilisé, sera retiré</t>
  </si>
  <si>
    <t>sin uso, se eliminará</t>
  </si>
  <si>
    <t>DIA_MG_OTHER_EVENT</t>
  </si>
  <si>
    <t>ヤッホー、トレーナー！　いま、ほかのイベントのデータが{NEW}はいっているようなんだけど。それってもんだいないけどね、{NEW}このままつづけたらそのデータがうわがきされるのよ。{CLR}いま、はいっているイベントをけいけんしたいのなら、{NEW}いまここでほんたいのでんげんをきってね。{NEW}でも、そうじゃなかったら‥‥</t>
  </si>
  <si>
    <t>Hi TRAINER!{NEW}{NEW}It looks like you have a different event currently loaded. That’s no problem, but it will be overwritten if you continue. Turn off the system now if you want to experience your current event, but otherwise-</t>
  </si>
  <si>
    <t>Salut DRESSEUR!{NEW}{NEW}Apparement il y a déjà un évènement de chargé. C’est pas un souci, mais si on continue ça va l’effacer. Étient la console maintenant si tu prévois de prendre part à l’évènement en cours.</t>
  </si>
  <si>
    <t>Ciao ALLENATORE!{NEW}{NEW}Sembra che ci sia un altro evento attualmente attivo. Non c’è problema, ma sarà sovrascritto se continui. Spegni ora la console se vuoi giocare il tuo evento corrente, altrimenti prosegui.</t>
  </si>
  <si>
    <t>¡Hola, ENTRENADOR! Parece que tienes un evento diferente cargado actualmente. Eso no es un problema, pero se sobrescribirá si continúas. Apaga el sistema ahora si quieres conservar tu evento actual. De lo contrario, puedes continuar.</t>
  </si>
  <si>
    <t>Olá, TREINADOR! Parece que você já tem um evento diferente carregado atualmente. Não tem problema, mas ele será apagado se continuarmos. Desligue o aparelho caso queira terminar o evento atual, ou senão…</t>
  </si>
  <si>
    <t>DIA_PKMN_TO_COLLECT</t>
  </si>
  <si>
    <t>ヤッホー、トレーナー！　うけとらないといけないポケモンが{NEW}まだのこっているみたいなんだけど‥‥{CLR}そのポケモンをうけとるまでは、あたらしいポケモンを{NEW}おくることができないの。{CLR}うけとったあと、ここまでもどってきてねー！</t>
  </si>
  <si>
    <t>Hi TRAINER!{NEW}{NEW}It looks like you still have POKéMON to pick up…{NEW}I can’t send over new POKéMON until you pick those up.{NEW}Come back after you’ve received them!</t>
  </si>
  <si>
    <t>Salut DRESSEUR!{NEW}{NEW}Apparement t’as encore des POKéMON à récupérer, ce qui empêche d’en envoyer d’autres…{NEW}Reviens une fois que tu les auras récupérés!</t>
  </si>
  <si>
    <t>Ciao ALLENATORE!{NEW}{NEW}Sembra che tu abbia ancora POKéMON da ritirare…{NEW}Non posso trasferire nuovi POKéMON finchè non prelevi i POKéMON attualmente in attesa. Torna dopo che li hai ritirati!</t>
  </si>
  <si>
    <t>¡Hola, ENTRENADOR! Parece que aún tienes POKéMON por recoger… No puedo enviar POKéMON nuevos hasta que recojas esos. ¡Vuelve después de haberlos recibido!</t>
  </si>
  <si>
    <t>Olá, TREINADOR! Parece que você ainda tem POKéMON para recolher… Eu não posso enviar novos POKéMON enquanto você não recolher esses. Volte quando você já tiver recolhido todos eles!</t>
  </si>
  <si>
    <t>DIA_NO_VALID_PKMN</t>
  </si>
  <si>
    <t>ごめんなさいね、トレーナー。いまのボックスには、{NEW}ゆうこうなポケモンがはいっていないようなんだけど。{CLR}いまのボックスをさいどチェックしてみてきて、もういちど{NEW}いっしょにてんそうしてみよーよ！</t>
  </si>
  <si>
    <t>Sorry TRAINER, it doesn’t look like you have any valid POKéMON in your current active BOX right now. Go double check the BOX and we can give it another shot!</t>
  </si>
  <si>
    <t>Désolée DRESSEUR, mais il semble y avoir des POKéMON invalides dans la BOITE active actuelle. Va vérifier la BOITE en question puis réessayons!</t>
  </si>
  <si>
    <t>Mi spiace ALLENATORE, sembra che in questo momento tu non abbia nessun POKéMON valido nel tuo BOX attuale. Per favore, controlla nuovamente il tuo BOX e poi ritentiamo!</t>
  </si>
  <si>
    <t>Lo siento, ENTRENADOR, parece que no tienes ningún POKéMON válido en tu caja actual en este momento. ¡Revisa bien tu caja y lo intentamos de nuevo!</t>
  </si>
  <si>
    <t>Me desculpe, TREINADOR, mas não parece que você tem nenhum POKéMON válido na sua CAIXA atual. Vá conferir novamente a sua CAIXA atual e então tentaremos novamente!</t>
  </si>
  <si>
    <t>DIA_ASK_QUEST</t>
  </si>
  <si>
    <t>ヤッホー、トレーナー！　はじめるまえに、アナタに{NEW}いくつかのしつもんがあるの。</t>
  </si>
  <si>
    <t>Hi TRAINER!{NEW}{NEW}Before we begin, I need to ask you a few questions.</t>
  </si>
  <si>
    <t>Salut DRESSEUR!{NEW}{NEW}Avant de commmencer, j’ai besoin de te poser quelques petites questions.</t>
  </si>
  <si>
    <t>Ciao ALLENATORE!{NEW}{NEW}Prima di iniziare, ho bisogno di porti qualche domanda.</t>
  </si>
  <si>
    <t>¡Hola, ENTRENADOR!{NEW}Antes de empezar, necesito hacerte algunas preguntas.</t>
  </si>
  <si>
    <t>Olá, TREINADOR! Antes de começarmos, tenho que fazer algumas perguntas.</t>
  </si>
  <si>
    <t>DIA_WHAT_GAME_TRANS</t>
  </si>
  <si>
    <t>かんぺき！{NEW}それで、どのゲームなの？</t>
  </si>
  <si>
    <t>Perfect!{NEW}And which game is it?</t>
  </si>
  <si>
    <t>Très bien!{NEW}Et de quelle version s’agit-il?</t>
  </si>
  <si>
    <t>E da quale versione di gioco POKéMON per Game Boy stai cercando di trasferire i dati?</t>
  </si>
  <si>
    <t>¿Y desde qué juego de POKéMON de Game Boy vas a transferir?</t>
  </si>
  <si>
    <t>E de qual jogo de POKéMON você vai fazer a transferência?</t>
  </si>
  <si>
    <t>DIA_WHAT_LANG_TRANS</t>
  </si>
  <si>
    <t>まずはね、てんそうもとのゲームボーイのゲームは{NEW}どのげんごをつかっているの？</t>
  </si>
  <si>
    <t>First, what language is the Game Boy game you’re transferring from?</t>
  </si>
  <si>
    <t>Tout d’abord, quelle est la langue de la version Game Boy à partir de laquelle tu veux faire un transfert?</t>
  </si>
  <si>
    <t>In che lingua è la versione di gioco POKéMON per Game Boy da cui stai cercando di trasferire i dati?</t>
  </si>
  <si>
    <t>¿En qué idioma está el juego de POKéMON de Game Boy desde el que vas a transferir?</t>
  </si>
  <si>
    <t>Qual é o idioma do jogo de POKéMON de onde você vai fazer a transferência?</t>
  </si>
  <si>
    <t>DIA_NO_GB_ROM</t>
  </si>
  <si>
    <t>わるいんだけど、そのげんごのバージョンは、いま{NEW}サポートができていないの。</t>
  </si>
  <si>
    <t>I’m sorry, but that version in that language is not currently supported.</t>
  </si>
  <si>
    <t>Je suis désolée, mais cette langue n’est pas encore prise en charge pour cette version.</t>
  </si>
  <si>
    <t>Mi spiace, ma quella versione, in quella lingua, non è attualmente supportata. Torna presto!</t>
  </si>
  <si>
    <t>Lo siento, pero el juego en ese idioma no es compatible actualmente.</t>
  </si>
  <si>
    <t>Me desculpe, mas essa versão de jogo nesse idioma ainda não é suportado.</t>
  </si>
  <si>
    <t>DIA_IN_BOX</t>
  </si>
  <si>
    <t>さてと！　てんそうされるポケモンをみてみよー！{CLR}わすれないでね、ポケモンがてんそうされたら、もうにどと{NEW}もとのゲームにもどされることができないの。{CLR}じゅんびができたら、「けってい」をせんたくすること、{NEW}また、もしきがかわったら、「キャンセル」を{NEW}せんたくすること。</t>
  </si>
  <si>
    <t>Alright! Let’s take a look at the POKéMON that will be transfered. Please remember, once a POKéMON is transfered, it CANNOT be returned to its game of origin. Select “CONFIRM” once you’re ready, or select “CANCEL” if you changed your mind.</t>
  </si>
  <si>
    <t>Youpi!{NEW}Voyons les POKéMON qui seront transférés.{NEW}Garde bien en tête qu’une fois un POKéMON transféré, il ne pourra JAMAIS revenir dans son jeu d’origine. Confime si tout est bon pour toi,{NEW}ou annule si t’as changé d’avis.</t>
  </si>
  <si>
    <t>Bene! Diamo un’occhiata ai POKéMON che verranno trasferiti. Ricorda, quando un POKéMON viene trasferito, NON può essere ritrasferito nella cassetta d’origine. Seleziona “CONFERMA” una volta pronto, o seleziona “ANNULLA” se vuoi tenere i tuoi POKéMON nella cassetta corrente.</t>
  </si>
  <si>
    <t>¡Muy bien! Echemos un vistazo a los POKéMON que transferirás. Recuerda que, una vez transferido un POKéMON, NO PUEDE devolverse al cartucho de Game Boy. Selecciona confirmar cuando todo esté listo, o cancelar si quieres mantener al POKéMON en tu cartucho de Game Boy.</t>
  </si>
  <si>
    <t>Certo! Vamos dar uma olhada nos POKéMON que serão transferidos. Por favor, lembre-se que depois de transferidos, seus POKéMON NÃO poderão retornar para o seu jogo de origem. Selecione CONFIRMAR quando estiver pronto, ou CANCELAR caso queira manter seus POKéMON no seu jogo de Game Boy.</t>
  </si>
  <si>
    <t>DIA_MYTHIC_CONVERT</t>
  </si>
  <si>
    <t>おー！　めずらしいまぼろしのポケモンがいるみたいよ！{NEW}めずらしいため、アタシのきかいがオーバーロードして{NEW}しまったようなの。{CLR}もしよかったらね、そのポケモンをあんていさせることが{NEW}できるんだけど、であったばしょ、OT、TIDや{NEW}いろちがいかどうかなどのじょうほうがかわってしまうの。{CLR}あるいは、そのままにしておくことができるけどね、{NEW}しょうらいには、てんそうできるかは、アタシがほしょう{NEW}できないの。{CLR}あんていさせてほしい？ いま、ボックスにはいっている{NEW}まぼろしのポケモンみんなにあてはまるの。</t>
  </si>
  <si>
    <t>It looks like you have a rare mythical POKéMON! Due to their rarity, it seems they’ve overloaded the machine. I can stablize them if you’d like, but it’ll change some things like met location, OT, TID, and Shininess. Otherwise I can leave them as is, but there’s no guarantee that they’ll be transferrable in the future. Do you want me to stablize them?{NEW}This will apply to all of the mythical POKéMON currently in your BOX.</t>
  </si>
  <si>
    <t>Il semblerait que t’as un POKéMON fabuleux!{NEW}Sa rareté a mis machine en surcharge, mais t’inquiètes, je suis mesure de le stabiliser! Ça va nécessiter de modifier des trucs comme sa provenance, son DO,{NEW}son ID et son caractère chromatique. On peut le laisser tel quel, mais je ne garantis pas qu’il sera toujours transférable à l’avenir. Tu veux que je le stabilise? Ce choix s’appliquera à tous les POKéMON fabuleux actuellement dans la BOITE.</t>
  </si>
  <si>
    <t>Sembra che tu abbia un POKéMON misterioso! Per la loro rarità, pare che abbiano sovraccaricato la macchina. Posso stabilizzarli come desideri, ma ciò modificherà alcuni aspetti come luogo d’incontro, AO, ID, e cromatismo. Oppure posso lasciarli come sono, ma potrebbero non essere trasferibili in futuro. Vuoi che li stabilizzi? Questa modifica verrà applicata a tutti i POKéMON misteriosi nel tuo box.</t>
  </si>
  <si>
    <t>¡Veo que tienes un POKéMON mítico muy raro y la máquina se sobrecargó! {NEW}Podría estabilizarlo, pero cambiarán algunos datos: lugar de encuentro, EO, ID y si es brillante o no.{NEW}O podría dejarlo así, pero no te garantizo que se pueda transferir en el futuro.{NEW}¿Quieres estabilizarlo? Se aplicará a todos los POKéMON míticos de tu caja.</t>
  </si>
  <si>
    <t>Parece que você tem pelo menos um raro POKéMON mítico! Devido a sua raridade, parece que eles sobrecarregaram a máquina. Eu posso estabilizá-los se quiser, mas isso vai alterar algumas coisas, como o local de origem, OT, TID e “brilho”. Ou então, eu posso deixá-los como estão, mas não tenho garantias se serão transferíveis no futuro. Quer que eu os estabilize? Isso será aplicado para todos os POKéMON Míticos que estão atualmente na sua CAIXA.</t>
  </si>
  <si>
    <t>DIA_CANCEL</t>
  </si>
  <si>
    <t>わかった、しんぱいしないでね！　きがかわったら、{NEW}きがるにもどってきてね！　じゃあ、またねー！</t>
  </si>
  <si>
    <t>No worries! Feel free to come back if you change your mind! See you around!</t>
  </si>
  <si>
    <t>T’inquiètes!{NEW}Reviens quand tu veux si tu changes d’avis!{NEW}À plus tard!</t>
  </si>
  <si>
    <t>Non preoccuparti!{NEW}Torna se cambi idea!{NEW}Ci si vede!</t>
  </si>
  <si>
    <t>¡No te preocupes! ¡Vuelve cuando quieras si cambias de opinión!{NEW}¡Nos vemos!</t>
  </si>
  <si>
    <t>Sem problemas! Sinta-se livre para voltar caso mude de ideia! Até mais!</t>
  </si>
  <si>
    <t>DIA_SOME_INVALID_PKMN</t>
  </si>
  <si>
    <t>いまのボックスからてんそうできないポケモンが{NEW}すくなくともいっぴきいるみたいなの。{CLR}もちもののあるポケモンや、ふせいなしゅだんでしゅうせい{NEW}されたポケモンは、てんそうすることができないの。{CLR}ほかのポケモンは、もんだいなくてんそうされるんだけどね！</t>
  </si>
  <si>
    <t>I see there is at least one POKéMON that cannot be transferred from your current BOX. POKéMON holding items or modified incorrectly through unintended means cannot be transferred. The other POKéMON will transfer just fine though!</t>
  </si>
  <si>
    <t>Je constate qu’il y a au moins un POKéMON impossible à transférer dans la BOITE actuelle. Les POKéMON tenant un objet ne peuvent pas être transférés. Il en va de même pour ceux ayant été sujets à des modifications bancales avec des moyens douteux. Mais t’inquiètes pas, tes autres POKéMON peuvent poursuivre le processus!</t>
  </si>
  <si>
    <t>Oh! C’è almeno un POKéMON che non può essere trasferito dal tuo BOX corrente. I POKéMON modificati con metodi non covenzionali o con oggetti non si possono trasferire. Gli altri POKéMON saranno trasferibili!</t>
  </si>
  <si>
    <t>Hay al menos un POKéMON que no se puede transferir desde tu caja actual.{NEW}Los POKéMON que llevan objetos o que se modificaron por medios no autorizados no pueden transferirse.{NEW}¡Pero los demás POKéMON se transferirán sin problemas!</t>
  </si>
  <si>
    <t>Vejo que pelo menos um POKéMON não pode ser transferido da sua caixa atual. POKéMON que estejam segurando itens ou modificados incorretamente por meios obscuros não podem ser transferidos. Os outros POKéMON serão transferidos normalmente entretanto!</t>
  </si>
  <si>
    <t>DIA_MENU_BACK</t>
  </si>
  <si>
    <t>わかった、しんぱいしないでね！　いつでもきがるに{NEW}もどってきてね！</t>
  </si>
  <si>
    <t>No worries!{NEW}Feel free to come back any time!</t>
  </si>
  <si>
    <t>T’inquiètes!{NEW}Reviens quand tu veux si tu changes d’avis!</t>
  </si>
  <si>
    <t>Nessun problema!{NEW}Sentiti libero di tornare quando vorrai!</t>
  </si>
  <si>
    <t>¡No te preocupes! ¡Vuelve cuando quieras!</t>
  </si>
  <si>
    <t>Sem problema! Sinta-se livre para voltar a qualquer hora!</t>
  </si>
  <si>
    <t>DIA_IS_MISSINGNO</t>
  </si>
  <si>
    <t>‥‥アナタのポケモンのなかのいっひきが、てんそうきかいを{NEW}かんしょうしているようなの‥‥{CLR}でもね、ただのグラフィックスのもんだいにみえるから、{NEW}さきにすすめるのよ！</t>
  </si>
  <si>
    <t>…It seems like one of your POKéMON is messing with the machine! It looks to only be graphical though, so we can continue!</t>
  </si>
  <si>
    <t>… Un de tes POKéMON met le souk dans la machine… Mais le souci n’a l’air que graphique, alors continuons!</t>
  </si>
  <si>
    <t>…Sembra che uno dei tuoi POKéMON stia interferendo con la macchina! Ma si tratta solo di un errore grafico tuttavia, quindi possiamo continuare!</t>
  </si>
  <si>
    <t>…Parece que uno de tus POKéMON está interfiriendo con la máquina… Aunque aparentemente solo es un error gráfico, ¡así que podemos continuar!</t>
  </si>
  <si>
    <t>…parece que um de seus POKéMON está interferindo com a máquina… Entretando, parece ser apenas esteticamente, então podemos continuar!</t>
  </si>
  <si>
    <t>DIA_ERROR_COLOSSEUM</t>
  </si>
  <si>
    <t>こうかんのへやじゃなくて、コロシアムにいったみたいだね！{NEW}もういちどしてみよっか！</t>
  </si>
  <si>
    <t>It looks like you went to the colosseum instead of the trading room!{NEW}Let’s try that again!</t>
  </si>
  <si>
    <t>Oupsi, t’es visiblement allé dans le Colisée au lieu du Club Link!{NEW}Réessayons!</t>
  </si>
  <si>
    <t>Credo che tu sia andato al colosseo invece che alla stanza di comunicazione!{NEW}Riprova di nuovo!</t>
  </si>
  <si>
    <t>¡Parece que fuiste al coliseo en lugar de a la sala de intercambio!{NEW}¡Intentémoslo de nuevo!</t>
  </si>
  <si>
    <t>Parece que você escolheu a opção de COLISEU em vez da SALA DE TROCAS! Vamos tentar de novo!</t>
  </si>
  <si>
    <t>DIA_ERROR_COM_ENDED</t>
  </si>
  <si>
    <t>もうひとつのほんたいとのつうしんは、しゅうりょう{NEW}されたの。もういちどしてみよっか！</t>
  </si>
  <si>
    <t>Communication with the other device was terminated.{NEW}Let’s try that again!</t>
  </si>
  <si>
    <t>La communication avec l’autre Game Boy a été interrompue.{NEW}Réessayons!</t>
  </si>
  <si>
    <t>La comunicazione con l’altro dispositivo è terminata.{NEW}Riprova di nuovo!</t>
  </si>
  <si>
    <t>Se interrumpió la comunicación con el otro dispositivo. ¡Intentémoslo de nuevo!</t>
  </si>
  <si>
    <t>A comunicação com o outro aparelho foi encerrada. Vamos tentar novamente!</t>
  </si>
  <si>
    <t>DIA_ERROR_DISCONNECT</t>
  </si>
  <si>
    <t>ゲームボーイカラーせんようつうしんケーブルは{NEW}ぬかれたようなの‥‥　もういちどしてみよっか！</t>
  </si>
  <si>
    <t>It looks like the Game Boy Color Link Cable was disconnected…{NEW}Let’s try that again!</t>
  </si>
  <si>
    <t>Le Câble Link de Game Boy Color semble avoir été déconnecté.{NEW}Réessayons!</t>
  </si>
  <si>
    <t xml:space="preserve">Sembra che il Game Link Cable per Game Boy Color sia stato disconnesso…{NEW}Riprova di nuovo!
</t>
  </si>
  <si>
    <t>Parece que el cable link de Game Boy Color se desconectó… ¡Intentémoslo de nuevo!</t>
  </si>
  <si>
    <t>Parece que o Cabo Link do GBC foi desconectado… Vamos tentar de novo!</t>
  </si>
  <si>
    <t>DIA_ERROR_TIME_ONE</t>
  </si>
  <si>
    <t>せつぞくがタイムアウトしたみたいなの‥‥{NEW}もういちどしてみよっか！</t>
  </si>
  <si>
    <t>It looks like the connection timed out…{NEW}Let’s try that again!</t>
  </si>
  <si>
    <t>La connexion semble avoir expiré…{NEW}Réessayons!</t>
  </si>
  <si>
    <t>Sembra che il tempo di connessione sia scaduto…{NEW}Riprova di nuovo!</t>
  </si>
  <si>
    <t>Parece que se agotó el tiempo de conexión… ¡Intentémoslo de nuevo!</t>
  </si>
  <si>
    <t>Parece que a conexão atingiu o tempo limite… Vamos tentar de novo!</t>
  </si>
  <si>
    <t>DIA_ERROR_TIME_TWO</t>
  </si>
  <si>
    <t>せつぞくがタイムアウトしたようなの‥‥{NEW}もういちどしてみよっか！</t>
  </si>
  <si>
    <t>It seems like the connection timed out…{NEW}Let’s try that again!</t>
  </si>
  <si>
    <t>Al parecer se agotó el tiempo de conexión… ¡Intentémoslo de nuevo!</t>
  </si>
  <si>
    <t>DIA_WHAT_LANG_EVENT</t>
  </si>
  <si>
    <t>イベントをそうしんしたいゲームボーイのポケモンゲームは、{NEW}どのげんごをつかっているの？</t>
  </si>
  <si>
    <t>What language is the Game Boy POKéMON game that you want to send an event to?</t>
  </si>
  <si>
    <t>Quelle est la langue de la version vers laquelle tu veux envoyer un évènement?</t>
  </si>
  <si>
    <t>In che lingua è la versione di gioco POKéMON per Game Boy a cui intendi trasferire un evento?</t>
  </si>
  <si>
    <t>¿En qué idioma está el juego de POKéMON de Game Boy al que quieres enviar un evento?</t>
  </si>
  <si>
    <t>Em que idioma está o jogo POKéMON de Game Boy para qual você quer enviar o evento?</t>
  </si>
  <si>
    <t>DIA_WHAT_GAME_EVENT</t>
  </si>
  <si>
    <t>それで、イベントをそうしんしたいゲームボーイの{NEW}ポケモンゲームはどれなの？</t>
  </si>
  <si>
    <t>And which Game Boy POKéMON game do you want to send an event to?</t>
  </si>
  <si>
    <t>Et vers quelle version veux-tu envoyer un évènement?</t>
  </si>
  <si>
    <t>Ed a quale versione di gioco POKéMON per Game Boy intendi trasferire un evento?</t>
  </si>
  <si>
    <t>¿Y a qué juego de POKéMON de Game Boy quieres enviar un evento?</t>
  </si>
  <si>
    <t>E qual é o jogo POKéMON de Game Boy que você quer enviar o evento?</t>
  </si>
  <si>
    <t>DIA_K_DEX_NOT_FULL</t>
  </si>
  <si>
    <t>ごめんなさいね、トレーナー。カントーちほうからの{NEW}ポケモン150ひきすべて、まだつかまえて{NEW}いないみたいなんだけど。{CLR}すべてをつかまえにいってきてね。それで、イベントを{NEW}おくることができるようになるわ！</t>
  </si>
  <si>
    <t>Sorry TRAINER, it looks like you haven’t caught all 150 POKéMON from the KANTO region yet. Go out and catch them all and then we’ll be able to send over the event!</t>
  </si>
  <si>
    <t>Mes excuses DRESSEUR, mais tu n’as visiblement pas encore capturé les 150 POKéMON de KANTO. Retourne à l’aventure pour les attraper afin qu’on puisse envoyer l’évènement!</t>
  </si>
  <si>
    <t>Scusa ALLENATORE, sembra che tu non abbia ancora catturato tutti i 150 POKéMON dalla regione di KANTO. Vai e catturali tutti e dopo sarà possibile trasferire l’evento!</t>
  </si>
  <si>
    <t xml:space="preserve">Lo siento, ENTRENADOR, parece que aún no has atrapado a los 150 POKéMON de la región de Kanto. ¡Sal ahí fuera, atrápalos a todos y entonces podremos enviar el evento!
</t>
  </si>
  <si>
    <t>Me desculpe TREINADOR(A), mas parece que você ainda não capturou todos os 150 POKéMON da região de KANTO ainda. Vá explorar e pegue todos eles e então nós vamos conseguir te enviar o evento!</t>
  </si>
  <si>
    <t>DIA_J_DEX_NOT_FULL</t>
  </si>
  <si>
    <t>ごめんなさいね、トレーナー。ジョウトちほうからの{NEW}あたらしいポケモン99ひきすべて、まだつかまえて{NEW}いないみたいなんだけど。{CLR}すべてをつかまえにいってきてね。それで、イベントを{NEW}おくることができるようになるわ！</t>
  </si>
  <si>
    <t>Sorry TRAINER, it looks like you haven’t caught all 99 new POKéMON from the JOHTO region yet. Go out and catch them all and then we’ll be able to send over the event!</t>
  </si>
  <si>
    <t>Mes excuses DRESSEUR, mais tu n’as visiblement pas encore capturé les 99 nouveaux POKéMON de JOHTO. Retourne à l’aventure pour les attraper afin qu’on puisse envoyer l’évènement!</t>
  </si>
  <si>
    <t>Scusa ALLENATORE, sembra che tu non abbia ancora catturato tutti i 99 nuovi POKéMON dalla regione di JOHTO. Vai e catturali tutti e dopo sarà possibile trasferire l’evento!</t>
  </si>
  <si>
    <t>Lo siento, ENTRENADOR, parece que aún no has atrapado a los 99 nuevos POKéMON de la región de Johto. ¡Sal ahí fuera, atrápalos a todos y entonces podremos enviar el evento!</t>
  </si>
  <si>
    <t>Me desculpe TREINADOR(A), mas parece que você ainda não capturou todos os 99 novos POKéMON da região de JOHTO. Vá explorar e pegue todos eles e então nós vamos conseguir te enviar o evento!</t>
  </si>
  <si>
    <t>RSEFRLG</t>
  </si>
  <si>
    <t>dia_textGreet_rse</t>
  </si>
  <si>
    <t>gen3Box</t>
  </si>
  <si>
    <t>わたしは　おさないころ{NEW}ポケモン　トレーナーとして{SCL}せかいを　たびした</t>
  </si>
  <si>
    <t>When I was young, I traveled the world as a POKéMON TRAINER.</t>
  </si>
  <si>
    <t>Quand j’étais jeune, j’étais DRESSEUR de POKéMON et j’ai parcouru le…</t>
  </si>
  <si>
    <t>Als ich noch jung war, bin ich als POKéMON-TRAINER durch die Welt gereist.</t>
  </si>
  <si>
    <t>Quando ero giovane, ho girato il mondo come ALLENATORE di POKéMON.</t>
  </si>
  <si>
    <t>Cuando era un yogurín, viajé por todo el mundo como ENTRENADOR POKéMON.</t>
  </si>
  <si>
    <t>Cuando era joven, viajé por el mundo como ENTRENADOR POKéMON.</t>
  </si>
  <si>
    <t>Quando eu era jovem, eu viajei pelo mundo como um TREINADOR POKéMON.</t>
  </si>
  <si>
    <t>dia_textGreet_frlg</t>
  </si>
  <si>
    <t>いまは　そうみえない　かもしれんが{NEW}わかいころは‥‥</t>
  </si>
  <si>
    <t>I may not look like much now,{NEW}but when I was younger…</t>
  </si>
  <si>
    <t>Je sais que c’est dur à croire,{NEW}mais quand j’étais plus jeune…</t>
  </si>
  <si>
    <t>Ich stelle momentan nichts mehr dar, aber als ich jünger war…</t>
  </si>
  <si>
    <t>A vedermi così non si direbbe, ma…{NEW}…da giovane…</t>
  </si>
  <si>
    <t>Ahora no lo aparento, pero cuando era más joven…</t>
  </si>
  <si>
    <t>Puede que ahora no parezca gran cosa, pero cuando era más joven…</t>
  </si>
  <si>
    <t>Posso não parecer grande coisa agora, mas quando eu era jovem…</t>
  </si>
  <si>
    <t>dia_textMoveBox_rs</t>
  </si>
  <si>
    <t>ああ　そうか{NEW}ドアを　あけねばな！</t>
  </si>
  <si>
    <t>Oh, of course, I have to unlock{NEW}the door!</t>
  </si>
  <si>
    <t>Ah oui attends, il faut que je déverouille la porte!</t>
  </si>
  <si>
    <t>Oh, certo, devo aprire la porta!</t>
  </si>
  <si>
    <t>¡Oh, claro, tengo que abrir la puerta!</t>
  </si>
  <si>
    <t>Ah, é mesmo, tenho que abrir a porta!</t>
  </si>
  <si>
    <t>dia_textMoveBox_frlg</t>
  </si>
  <si>
    <t>{MLE}ああ　そうか{NEW}はこを　うごかさねばな！</t>
  </si>
  <si>
    <t>{MLE}Oh, of course, I have to move{NEW}the boxes!</t>
  </si>
  <si>
    <t>{MLE}Ah oui attends, il faut que je bouge les cartons!</t>
  </si>
  <si>
    <t>{MLE}Oh, certo, devo spostare gli scatoloni!</t>
  </si>
  <si>
    <t>{MLE}¡Oh, claro, tengo que mover las cajas!</t>
  </si>
  <si>
    <t>{MLE}Ah, é mesmo, tenho que mover essas caixas!</t>
  </si>
  <si>
    <t>dia_textMoveBox_e</t>
  </si>
  <si>
    <t>{MLE}ああ　そうか{NEW}しょくぶつを　うごかさねばな！</t>
  </si>
  <si>
    <t>{MLE}Oh, of course, I have to move{NEW}the plants!</t>
  </si>
  <si>
    <t>{MLE}Ah oui attends, il faut que je bouge les plantes!</t>
  </si>
  <si>
    <t>{MLE}Oh, certo, devo spostare le piante!</t>
  </si>
  <si>
    <t>{MLE}¡Oh, claro, tengo que mover las plantas!</t>
  </si>
  <si>
    <t>{MLE}Ah, é mesmo, tenho que mover as plantas!</t>
  </si>
  <si>
    <t>dia_textWeHere_rs</t>
  </si>
  <si>
    <t>ハンサム『わたしは　ホウエンちほうに{NEW}きたのは　ボスの{VLN}を{SCL}さがすためだ{CLR}また　ともだちの　マコモはかせの{NEW}てつだいのため　なんだ{CLR}きみも　そのために　きたんだよな？{NEW}ちがうか？{CLR}じゅんびが　できていると　はかせに{NEW}つたえる{CLR}さあ！　いくぞ！</t>
  </si>
  <si>
    <t>LOOKER: I am here in HOENN to find the leader {VLN}.{CLR}As well, I am helping my friend{NEW}PROF. FENNEL.{CLR}This is why you are here, no?{NEW}I shall tell her you are ready.{SCL}Come! Allons-y!</t>
  </si>
  <si>
    <t>BELADONIS: Je suis à HOENN pour trouver {VLN}.{CLR}J’assiste également une amie,{NEW}la PROF. ORYSE.{CLR}C’est bien la raison de ta présence non?{SCL}Je vais la prévenir que t’es là.{NEW}Allons-y!</t>
  </si>
  <si>
    <t>BELLOCCHIO: Sono qui ad HOENN per cercare il Capo {VLN}.{CLR}Inoltre, sto aiutando la mia amica PROF.SSA ZANIA.{CLR}È per questo che tu sei qui, giusto? Dovrei riferirle che sei pronto.{SCL}Allora iniziamo!</t>
  </si>
  <si>
    <t>LOOKER: Estoy aquí en HOENN para encontrar al líder {VLN}.{CLR}Además, estoy ayudando a mi amiga la PROF. FENNEL.{CLR} Por eso estás aquí, ¿no? Le diré que ya está todo listo.{SCL}¡Ven! ¡Allons-y!</t>
  </si>
  <si>
    <t>LOOKER: Eu estou aqui em HOENN para encontrar o líder MAXIE.{CLR}E também, estou ajudando minha amiga PROF.ª FENNEL.{CLR}É por isso que você está aqui, não é?{NEW}Vou avisá-la que você está com tudo pronto.{SCL}Venha! Vamos!</t>
  </si>
  <si>
    <t>dia_textWeHere_frlg</t>
  </si>
  <si>
    <t>{MLE}ハンサム『わたしは　カントーちほうに{NEW}きたのは　ボスのサカキを{SCL}さがすためだ{CLR}また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</si>
  <si>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KANTO to find the leader GIOVANNI.{CLR}As well, I am helping my friend{NEW}PROF. FENNEL.{CLR}This is why you are here, no?{NEW}I shall tell her you are ready.{SCL}Come! Allons-y!</t>
  </si>
  <si>
    <t>{MLE}BELADONIS: Je suis à KANTO pour trouver GIOVANNI.{CLR}J’assiste également une amie,{NEW}la PROF. ORYSE.{CLR}C’est bien la raison de ta présence non?{SCL}Je vais la prévenir que t’es là.{NEW}Allons-y!</t>
  </si>
  <si>
    <t>{MLE}BELLOCCHIO: Sono qui ad KANTO per cercare il Capo GIOVANNI.{CLR}Inoltre, sto aiutando la mia amica PROF.SSA ZANIA.{CLR}È per questo che tu sei qui, giusto? Dovrei riferirle che sei pronto.{SCL}Allora iniziamo!</t>
  </si>
  <si>
    <t>{MLE}LOOKER: Estoy aquí en KANTO para encontrar al líder GIOVANNI.{CLR} Además, estoy ayudando a mi amiga la PROF. FENNEL.{CLR} Por eso estás aquí, ¿no? Le diré que ya está todo listo.{SCL}¡Ven! ¡Allons-y!</t>
  </si>
  <si>
    <t>{MLE}LOOKER: Eu estou aqui em KANTO para encontrar o líder GIOVANNI.{CLR}E também, estou ajudando minha amiga PROF.ª FENNEL.{CLR}É por isso que você está aqui, não é?{NEW}Vou avisá-la que você está com tudo pronto.{SCL}Venha! Allons-y!</t>
  </si>
  <si>
    <t>dia_textWeHere_e</t>
  </si>
  <si>
    <t>"Allons-y!" is taken from the scientist running the Poké Transfer Lab and Black/White/Black 2/White 2</t>
  </si>
  <si>
    <t>{MLE}ハンサム『わたしは　ホウエンちほうに{NEW}きたのは　ボスの{VLN2}と{SCL}{VLN}を　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</si>
  <si>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leaders {VLN2} and {VLN}.{CLR}As well, I am helping my friend PROF. FENNEL.{CLR}This is why you are here, no?{NEW}I shall tell her you are ready.{SCL}Come! Allons-y!</t>
  </si>
  <si>
    <t>{MLE}BELADONIS: Je suis à HOENN pour trouver {VLN2} et {VLN}.{CLR}J’aide également une amie,{NEW}la PROF. ORYSE.{CLR}C’est bien la raison de ta présence non?{SCL}Je vais la prévenir que t’es là.{NEW}Allons-y!</t>
  </si>
  <si>
    <t>{MLE}BELLOCCHIO: Sono qui ad HOENN per cercare i Capi {VLN2} ed {VLN}.{CLR}Inoltre, sto aiutando la mia amica PROF.SSA ZANIA.{CLR}È per questo che tu sei qui, giusto? Dovrei riferirle che sei pronto.{SCL}Allora iniziamo!</t>
  </si>
  <si>
    <t>{MLE}LOOKER: Estoy aquí en HOENN para encontrar a los líderes {VLN2} y {VLN}.{CLR} Además, estoy ayudando a mi amiga la PROF. FENNEL.{CLR} Por eso estás aquí, ¿no? Le diré que ya está todo listo.{SCL}¡Ven! ¡Allons-y!</t>
  </si>
  <si>
    <t>{MLE}LOOKER: Eu estou aqui em HOENN para encontrar os líderes MAXIE e ARCHIE.{CLR}E também, estou ajudando minha amiga PROF.ª FENNEL.{CLR}É por isso que você está aqui, não é?{NEW}Vou avisá-la que você está com tudo pronto.{SCL}Venha! Vamos!</t>
  </si>
  <si>
    <t>dia_textRecieved_rs</t>
  </si>
  <si>
    <t>{PLR}の　ポケモンは{NEW}パソコンに　おくられた！</t>
  </si>
  <si>
    <t>{PLR}’s POKéMON were{NEW}sent to the PC!</t>
  </si>
  <si>
    <t>Les POKéMON de {PLR} sont{NEW}envoyés au PC!</t>
  </si>
  <si>
    <t>I POKéMON di {PLR} sono stati{NEW}trasferiti al PC!</t>
  </si>
  <si>
    <t>¡Los POKéMON de {PLR} se enviaron a la PC!</t>
  </si>
  <si>
    <t>Os POKéMON de {PLR} foram enviados para o PC!</t>
  </si>
  <si>
    <t>dia_textRecieved_frlge</t>
  </si>
  <si>
    <t>{DEF}{PLR}の　ポケモンは{NEW}パソコンに　おくられた！</t>
  </si>
  <si>
    <t>{DEF}{PLR}’s POKéMON were{NEW}sent to the PC!</t>
  </si>
  <si>
    <t>{DEF}Les POKéMON de {PLR} sont{NEW}envoyés au PC!</t>
  </si>
  <si>
    <t>{DEF}I POKéMON di {PLR} sono stati{NEW}trasferiti al PC!</t>
  </si>
  <si>
    <t>{DEF}¡Los POKéMON de {PLR} se enviaron a la PC!</t>
  </si>
  <si>
    <t>{DEF}Os POKéMON de {PLR} foram enviados para o PC!</t>
  </si>
  <si>
    <t>dia_textYouMustBe_first</t>
  </si>
  <si>
    <t>おお！　きみは　{PLR}だよな！{NEW}きみが　くると　きいていたんだ{CLR}おっと！　へんそうしたまま{NEW}だったね！　しっけい！{CLR}というか　じこしょうかいを{NEW}させていただこう</t>
  </si>
  <si>
    <t>Ah! You must be {PLR}!{NEW}I was told you’d be coming.{CLR}Oh! I still wear my disguise! Pardon! Or, rather, let me introduce myself.</t>
  </si>
  <si>
    <t>Oh! Tu dois être {PLR}!{NEW}On m’a averti de ta venue.{CLR}Ah mince, désolé je porte encore mon déguisement!{NEW}Laisse-moi me présenter.</t>
  </si>
  <si>
    <t>Ah! Tu devi essere {PLR}!{NEW}Mi era stato detto del tuo arrivo.{CLR}Oh! Indosso ancora il mio travestimento! Perdonami!</t>
  </si>
  <si>
    <t>¡Ah! ¡Tú debes ser {PLR}! Me dijeron que vendrías.{CLR}¡Oh! ¡Aún llevo puesto mi disfraz! ¡Perdón! O, mejor dicho, permíteme presentarme.</t>
  </si>
  <si>
    <t>Ah! Você deve ser {PLR}! Me disseram que você viria.{CLR}Opa! Eu ainda estou com o disfarce! Pardon! Ou melhor dizendo, permita que eu me apresente.</t>
  </si>
  <si>
    <t>dia_textYouMustBe_second</t>
  </si>
  <si>
    <t>おお　{PLR}か！{NEW}よく　もどったぞ！{SCL}また　あえて　うれしい！{CLR}おっと！　へんそうしたまま{NEW}だったね！　しっけい！</t>
  </si>
  <si>
    <t>Ah, {PLR}! Welcome back! Good to see you again!{CLR}Oh! I still wear my disguise! Pardon!</t>
  </si>
  <si>
    <t>Oh, te revoilà {PLR}!{NEW}Ravi de te revoir.{CLR}Ah mince, désolé je porte encore mon déguisement!</t>
  </si>
  <si>
    <t>Ah! Tu devi essere {PLR}!{NEW}Mi era stato annunciato il tuo arrivo.{CLR}Oh! Indosso ancora il mio travestimento! Perdonami!</t>
  </si>
  <si>
    <t>¡Ah, {PLR}! ¡Volviste! ¡Qué gusto verte otra vez!{CLR}¡Oh! ¡Aún llevo puesto mi disfraz! ¡Perdón!{MLE}</t>
  </si>
  <si>
    <t>Ah, {PLR}! Já voltou! Que bom te ver novamente!{CLR}Opa! Ainda estou com meu disfarce! Pardon!</t>
  </si>
  <si>
    <t>dia_textIAm_first_rs</t>
  </si>
  <si>
    <t>わたしは　せかいを　またに　かける{NEW}こくさいけいさつの　メンバーである{CLR}なまえは‥‥　いや　きみには{NEW}コードネームを　おしえよう{CLR}そう　コードネームは　ハンサム！</t>
  </si>
  <si>
    <t>I am a globe-trotting elite of{NEW}the International Police.{CLR}My name…{CLR}Ah, no, I shall inform you of my code name only.{CLR}My code name, it is LOOKER!</t>
  </si>
  <si>
    <t>Je fais partie de l’élite itinérante des Forces de Police Internationales.{CLR}Mon nom est…{CLR}Désolé, je ne peux pas le dévoiler.{CLR}Appele-moi par mon nom de code: BELADONIS!</t>
  </si>
  <si>
    <t>Sono un agente scelto in missione per conto della Polizia Internazionale. Mi chiamo… ah, no, posso rivelarvi solo il mio nome in codice. Chiamatemi pure BELLOCCHIO.</t>
  </si>
  <si>
    <t>Soy un agente de élite de la Policía Internacional que recorre el mundo.{CLR}Me llamo…{SCL}Ah, no, solo te diré mi nombre en clave.{CLR}¡Mi nombre clave es LOOKER!</t>
  </si>
  <si>
    <t>Eu sou um agente de elite da Polícia Internacional que percorre o mundo todo.{CLR}Meu nome é…{CLR}Ah, não, eu só posso te dizer o meu codinome. {CLR}Meu codinome é LOOKER!</t>
  </si>
  <si>
    <t>dia_textIAm_first_frlge</t>
  </si>
  <si>
    <t>{MLE}わたしは　せかいを　またに　かける{NEW}こくさいけいさつの　メンバーである{CLR}なまえは‥‥　いや　きみには{NEW}コードネームを　おしえよう{CLR}そう　コードネームは　ハンサム！</t>
  </si>
  <si>
    <t>{MLE}I am a globe-trotting elite of{NEW}the International Police.{CLR}My name…{CLR}Ah, no, I shall inform you of my code name only.{CLR}My code name, it is LOOKER!</t>
  </si>
  <si>
    <t>{MLE}Je fais partie de l’élite itinérante des Forces de Police Internationales.{CLR}Mon nom est…{CLR}Désolé, je ne peux pas le dévoiler.{CLR}Appelle-moi par mon nom de code: BELADONIS!</t>
  </si>
  <si>
    <t>{MLE}Sono un agente scelto in missione per conto della Polizia Internazionale. Mi chiamo… ah, no, posso rivelarvi solo il mio nome in codice. Chiamatemi pure BELLOCCHIO.</t>
  </si>
  <si>
    <t>{MLE}Soy un agente de élite de la Policía Internacional que recorre el mundo.{CLR}Me llamo…{SCL}Ah, no, solo te diré mi nombre en clave.{CLR}¡Mi nombre clave es LOOKER!</t>
  </si>
  <si>
    <t>{MLE}Eu sou um agente de elite da Polícia Internacional que percorre o mundo todo.{CLR}Meu nome é…{CLR}Ah, não, eu só posso te dizer o meu codinome. {CLR}Meu codinome é LOOKER!</t>
  </si>
  <si>
    <t>dia_textIAm_second_rs</t>
  </si>
  <si>
    <t>せかいを　またに　かける{NEW}こくさいけいさつの　メンバーである{SCL}わたしだよ！{CLR}そう　コードネームは　ハンサム！</t>
  </si>
  <si>
    <t>It is I, globe-trotting elite of{NEW}the International Police.{CLR}My code name, it is LOOKER!</t>
  </si>
  <si>
    <t>C’est moi, nom de code: BELADONIS!{CLR}De l’élite itinérante des Forces de Police Internationales!</t>
  </si>
  <si>
    <t>Sono io, un agente scelto in missione per conto della Polizia Internazionale.{CLR}Il mio nome in codice è BELLOCCHIO!</t>
  </si>
  <si>
    <t>Soy yo, el agente de élite de la Policía Internacional que recorre el mundo.{CLR}¡Mi nombre clave es LOOKER!</t>
  </si>
  <si>
    <t>Sou eu, o agente de elite da Polícia Internacional que percorre o mundo todo.{CLR}Meu codinome é LOOKER!</t>
  </si>
  <si>
    <t>dia_textIAm_second_frlge</t>
  </si>
  <si>
    <t>{MLE}せかいを　またに　かける{NEW}こくさいけいさつの　メンバーである{SCL}わたしだよ！{CLR}そう　コードネームは　ハンサム！</t>
  </si>
  <si>
    <t>{MLE}It is I, globe-trotting elite of{NEW}the International Police.{CLR}My code name, it is LOOKER!</t>
  </si>
  <si>
    <t>{MLE}C’est moi, nom de code: BELADONIS!{CLR}De l’élite itinérante des Forces de Police Internationales!</t>
  </si>
  <si>
    <t>{MLE}Sono io, un agente scelto in missione per conto della Polizia Internazionale.{CLR}Il mio nome in codice è BELLOCCHIO!</t>
  </si>
  <si>
    <t>{MLE}Soy yo, el agente de élite de la Policía Internacional que recorre el mundo.{CLR}¡Mi nombre clave es LOOKER!</t>
  </si>
  <si>
    <t>{MLE}Sou eu, o agente de elite da Polícia Internacional que percorre o mundo todo.{CLR}Meu codinome é LOOKER!</t>
  </si>
  <si>
    <t>dia_textPCConvo_rs</t>
  </si>
  <si>
    <t>マコモ『あー　ハンサム！{NEW}{PLR}は　もう　ついたという{SCL}ことだよね？{CLR}ハンサム『そうとも！　ポケモンを{NEW}うけとるじゅんびが　できているよ！{CLR}マコモ『すばらしい！　まもなく{NEW}おくるよ‥　スタンバイしてね！</t>
  </si>
  <si>
    <t>FENNEL: Ah, LOOKER!{NEW}I take it {PLR} has arrived?{CLR}LOOKER: Indeed! They’re ready to receive their POKéMON!{CLR}FENNEL: Excellent! I’ll send them over momentarily… stand by!</t>
  </si>
  <si>
    <t>ORYSE: Ah, BELADONIS! J’ai cru comprendre que {PLR} était là?{CLR}BELADONIS: Effectivement!{NEW}En place pour recevoir son colis!{CLR}ORYSE: Parfait!{NEW}J’envoie ça sous peu, une minute…</t>
  </si>
  <si>
    <t>ZANIA: Ah, BELLOCCHIO! Suppongo che {PLR} sia arrivato?{CLR}BELLOCCHIO: Infatti! Sono pronti per ricevere il loro POKéMON!{CLR}ZANIA: Perfetto!{NEW}Li invierò tra un attimo… attendi!</t>
  </si>
  <si>
    <t>FENNEL: ¡Ah, LOOKER! ¿Supongo que {PLR} ya llegó?{CLR}LOOKER: ¡En efecto! ¡Están listos para recibir sus POKéMON!{CLR}FENNEL: ¡Excelente! Los enviaré en un momento… ¡esperen un poco!</t>
  </si>
  <si>
    <t>FENNEL: Ah, LOOKER! Acredito que {PLR} já deve ter chegado?{CLR}LOOKER: Certamente! E já está esperando para receber seus POKéMON!{CLR}FENNEL: Excelente! Vou enviá-los agora mesmo… esperem só um pouquinho!</t>
  </si>
  <si>
    <t>dia_textPCConvo_frlge</t>
  </si>
  <si>
    <t>{FPC}マコモ『あー　ハンサム！{NEW}{PLR}は　もう　ついたという{SCL}ことだよね？{CLR}{MLE}ハンサム『そうとも！　ポケモンを{NEW}うけとるじゅんびが　できているよ！{CLR}{FPC}マコモ『すばらしい！　まもなく{NEW}おくるよ‥　スタンバイしてね！</t>
  </si>
  <si>
    <t>{FPC}FENNEL: Ah, LOOKER!{NEW}I take it {PLR} has arrived?{CLR}{MLE}LOOKER: Indeed! They’re ready to receive their POKéMON!{CLR}{FPC}FENNEL: Excellent! I’ll send them over momentarily… stand by!</t>
  </si>
  <si>
    <t>{FPC}ORYSE: Ah, BELADONIS! J’ai cru comprendre que {PLR} était là?{CLR}{MLE}BELADONIS: Effectivement!{NEW}En place pour recevoir son colis!{CLR}{FPC}ORYSE: Parfait!{NEW}J’envoie ça sous peu, une minute…</t>
  </si>
  <si>
    <t>{FPC}ZANIA: Ah, BELLOCCHIO! Suppongo che {PLR} sia arrivato?{CLR}{MLE}BELLOCCHIO: Infatti! Sono pronti per ricevere il loro POKéMON!{CLR}{FPC}ZANIA: Perfetto!{NEW}Li invierò tra un attimo… attendi!</t>
  </si>
  <si>
    <t>{FPC}FENNEL: ¡Ah, LOOKER! ¿Supongo que {PLR} ya llegó?{CLR}{MLE}LOOKER: ¡En efecto! ¡Están listos para recibir sus POKéMON!{CLR}{FPC}FENNEL: ¡Excelente! Los enviaré en un momento… ¡esperen un poco!</t>
  </si>
  <si>
    <t>{FPC}FENNEL: Ah, LOOKER! Acredito que {PLR} já deve ter chegado?{CLR}{MLE}LOOKER: Certamente! E já está esperando para receber seus POKéMON!{CLR}{FPC}FENNEL: Excelente! Vou enviá-los agora mesmo… esperem só um pouquinho!</t>
  </si>
  <si>
    <t>dia_textPCThanks_rs</t>
  </si>
  <si>
    <t>マコモ『すべてが　ぶじに　アナタの{NEW}パソコンに　おくれたみたい！{CLR}ふたりとも　てだすけ{NEW}ありがとうございます！</t>
  </si>
  <si>
    <t>FENNEL: It looks like everything was sent to your PC successfully!{CLR}Thank you both for your help!</t>
  </si>
  <si>
    <t>ORYSE: Tout semble être bien arrivé dans ton PC!{CLR}Merci à vous deux pour l’aide!</t>
  </si>
  <si>
    <t>ZANIA: Il trasferimento al PC è avvenuto con successo!{CLR}Grazie a entrambi per il vostro aiuto!</t>
  </si>
  <si>
    <t>FENNEL: ¡Parece que todo se envió a tu PC con éxito!{CLR}¡Gracias a ambos por su ayuda!</t>
  </si>
  <si>
    <t>FENNEL: Parece que todos já foram enviados com sucesso para o seu PC!{CLR}Fico grata a vocês dois pela ajuda!</t>
  </si>
  <si>
    <t>dia_textPCThanks_frlge</t>
  </si>
  <si>
    <t>{FPC}マコモ『すべてが　ぶじに　アナタの{NEW}パソコンに　おくれたみたい！{CLR}ふたりとも　てだすけ{NEW}ありがとうございます！</t>
  </si>
  <si>
    <t>{FPC}FENNEL: It looks like everything was sent to your PC successfully!{CLR}Thank you both for your help!</t>
  </si>
  <si>
    <t>{FPC}ORYSE: Tout semble être bien arrivé dans ton PC!{CLR}Merci à vous deux pour l’aide!</t>
  </si>
  <si>
    <t>{FPC}ZANIA: Il trasferimento al PC è avvenuto con successo!{CLR}Grazie a entrambi per il vostro aiuto!</t>
  </si>
  <si>
    <t>{FPC}FENNEL: ¡Parece que todo se envió a tu PC con éxito!{CLR}¡Gracias a ambos por su ayuda!</t>
  </si>
  <si>
    <t>{FPC}FENNEL: Parece que todos já foram enviados com sucesso para o seu PC!{CLR}Fico grata a vocês dois pela ajuda!</t>
  </si>
  <si>
    <t>dia_textThank_rs</t>
  </si>
  <si>
    <t>{PLR}　よってきてくれて{NEW}ありがとうよ！{CLR}しつれいだけど　へんそうに{NEW}もどらねばならない{SCL}また　あえるときまで！</t>
  </si>
  <si>
    <t>Thanks for stopping by, {PLR}!{CLR}If you’ll excuse me, I must return to my disguise.{SCL}Until our paths cross again!</t>
  </si>
  <si>
    <t>Merci pour ton temps, {PLR}!{CLR}Maintenant si tu veux bien m’excuser, je dois retourner à ma couverture.{SCL}A la prochaine!</t>
  </si>
  <si>
    <t>Grazie per la visita, {PLR}!{CLR}E ora, se vuoi scusarmi, devo tornare al mio travestimento. Alla prossima!</t>
  </si>
  <si>
    <t>¡Gracias por pasar, {PLR}!{CLR}Si me disculpas, debo volver a mi disfraz.{SCL}¡Hasta que nuestros caminos se crucen de nuevo!</t>
  </si>
  <si>
    <t>Obrigado por me visitar, {PLR}!{CLR}Mas se você me dá licensa, eu preciso voltar para o meu disfarce.{SCL}Até a próxima vez que nossos caminhos se cruzem novamente!</t>
  </si>
  <si>
    <t>dia_textThank_frlge</t>
  </si>
  <si>
    <t>{MLE}{PLR}　よってきてくれて{NEW}ありがとうよ！{CLR}しつれいだけど　へんそうに{NEW}もどらねばならない{SCL}また　あえるときまで！</t>
  </si>
  <si>
    <t>{MLE}Thanks for stopping by, {PLR}!{CLR}If you’ll excuse me, I must return to my disguise.{SCL}Until our paths cross again!</t>
  </si>
  <si>
    <t>{MLE}Merci pour ton temps, {PLR}!{CLR}Maintenant si tu veux bien m’excuser, je dois retourner à ma couverture.{SCL}A la prochaine!</t>
  </si>
  <si>
    <t xml:space="preserve">{MLE}Grazie per la visita, {PLR}!{CLR}E ora, se vuoi scusarmi, devo tornare al mio travestimento. Alla prossima!
</t>
  </si>
  <si>
    <t>{MLE}¡Gracias por pasar, {PLR}!{CLR}Si me disculpas, debo volver a mi disfraz.{SCL}¡Hasta que nuestros caminos se crucen de nuevo!</t>
  </si>
  <si>
    <t>{MLE}Obrigado por me visitar, {PLR}!{CLR}Mas se você me dá licensa, eu preciso voltar para o meu disfarce.{SCL}Até a próxima vez que nossos caminhos se cruzem novamente!</t>
  </si>
  <si>
    <t>dia_textPCFull_rs</t>
  </si>
  <si>
    <t>マコモ『パソコンは　もう{NEW}いっぱいのようなの！{CLR}スペースを　あけてきてね{NEW}それで　のこりのポケモンを{SCL}おくることが　できるよ</t>
  </si>
  <si>
    <t>FENNEL: It seems like the PC is full!{CLR}Go make some room, and I can send over the rest of your POKéMON.</t>
  </si>
  <si>
    <t>ORYSE: Oh, tes BOITES semblent pleines!{CLR}Va faire un peu de place que je puisse envoyer le reste de tes POKéMON.</t>
  </si>
  <si>
    <t>ZANIA: Il tuo PC è pieno!{CLR}Fai un po’ di spazio, e poi potrò trasferire il resto dei tuoi POKéMON.</t>
  </si>
  <si>
    <t>FENNEL: ¡Al parecer la PC está llena!{CLR}Ve a hacer algo de espacio y podré enviarte el resto de tus POKéMON.</t>
  </si>
  <si>
    <t>FENNEL: Parece que o PC está cheio!{CLR}Vá abrir algum espaço, para que eu possa enviar o restante dos seus POKéMON.</t>
  </si>
  <si>
    <t>dia_textPCFull_frlge</t>
  </si>
  <si>
    <t>{FPC}マコモ『パソコンは　もう{NEW}いっぱいのようなの！{CLR}スペースを　あけてきてね{NEW}それで　のこりのポケモンを{SCL}おくることが　できるよ</t>
  </si>
  <si>
    <t>{FPC}FENNEL: It seems like the PC is full!{CLR}Go make some room, and I can send over the rest of your POKéMON.</t>
  </si>
  <si>
    <t>{FPC}ORYSE: Oh, tes BOITES semblent pleines!{CLR}Va faire un peu de place que je puisse envoyer le reste de tes POKéMON.</t>
  </si>
  <si>
    <t>{FPC}ZANIA: Il tuo PC è pieno!{CLR}Fai un po’ di spazio, e poi potrò trasferire il resto dei tuoi POKéMON.</t>
  </si>
  <si>
    <t>{FPC}FENNEL: ¡Al parecer la PC está llena!{CLR}Ve a hacer algo de espacio y podré enviarte el resto de tus POKéMON.</t>
  </si>
  <si>
    <t>{FPC}FENNEL: Parece que o PC está cheio!{CLR}Vá abrir algum espaço, para que eu possa enviar o restante dos seus POKéMON.</t>
  </si>
  <si>
    <t>dia_textLookerFull_rs</t>
  </si>
  <si>
    <t>ハンサム『スペースを　あけてから{NEW}こえを　かけてくれ　{PLR}！{CLR}それまでに　へんそうに　もどるぞ</t>
  </si>
  <si>
    <t>LOOKER: Speak to me again after you’ve made room, {PLR}!{CLR}In the meantime, I will return to my disguise.</t>
  </si>
  <si>
    <t>BELADONIS: Reviens me parler quand t’auras fais de la place.{CLR}En attendant, je retourne à ma couverture.</t>
  </si>
  <si>
    <t>BELLOCCHIO: Fammi un fischio quando avrai fatto spazio,{PLR}!{CLR}Nel frattempo, torno al mio travestimento.</t>
  </si>
  <si>
    <t>LOOKER: ¡Háblame de nuevo cuando hayas hecho espacio, {PLR}!{CLR}Mientras tanto, volveré a mi disfraz.</t>
  </si>
  <si>
    <t>LOOKER: Fale comigo novamente depois que você tenha arranjado mais espaço, {PLR}!{CLR}Enquanto isso, eu tenho que retornar pro meu disfarce.</t>
  </si>
  <si>
    <t>dia_textLookerFull_frlge</t>
  </si>
  <si>
    <t>{MLE}ハンサム『スペースを　あけてから{NEW}こえを　かけてくれ　{PLR}！{CLR}それまでに　へんそうに　もどるぞ</t>
  </si>
  <si>
    <t>{MLE}LOOKER: Speak to me again after you’ve made room, {PLR}!{CLR}In the meantime, I will return to my disguise.</t>
  </si>
  <si>
    <t>{MLE}BELADONIS: Reviens me parler quand t’auras fais de la place.{CLR}En attendant, je retourne à ma couverture.</t>
  </si>
  <si>
    <t>{MLE}BELLOCCHIO: Fammi un fischio quando avrai fatto spazio,{PLR}!{CLR}Nel frattempo, torno al mio travestimento.</t>
  </si>
  <si>
    <t>{MLE}LOOKER: ¡Háblame de nuevo cuando hayas hecho espacio, {PLR}!{CLR}Mientras tanto, volveré a mi disfraz.</t>
  </si>
  <si>
    <t>{MLE}LOOKER: Fale comigo novamente depois que você tenha arranjado mais espaço, {PLR}!{CLR}Enquanto isso, eu tenho que retornar pro meu disfarce.</t>
  </si>
  <si>
    <t>GB</t>
  </si>
  <si>
    <t>sending_text</t>
  </si>
  <si>
    <t>gameboySimpleString</t>
  </si>
  <si>
    <t>データをそうしんちゅう</t>
  </si>
  <si>
    <t>SENDING DATA</t>
  </si>
  <si>
    <t>TRANSFERT...</t>
  </si>
  <si>
    <t>TRASFERIMENTO...</t>
  </si>
  <si>
    <t>ENVIANDO DATOS</t>
  </si>
  <si>
    <t>ENVIANDO DADOS</t>
  </si>
  <si>
    <t>prof_name</t>
  </si>
  <si>
    <t>マコモ</t>
  </si>
  <si>
    <t>FENNEL</t>
  </si>
  <si>
    <t>ORYSE</t>
  </si>
  <si>
    <t>VIVAN</t>
  </si>
  <si>
    <t>ZANIA</t>
  </si>
  <si>
    <t>ORYZA</t>
  </si>
  <si>
    <t>주리</t>
  </si>
  <si>
    <t>真菰</t>
  </si>
  <si>
    <t>GENERAL</t>
  </si>
  <si>
    <t>option_english</t>
  </si>
  <si>
    <t>gbaSimpleString</t>
  </si>
  <si>
    <t>えいご</t>
  </si>
  <si>
    <t>ENGLISH</t>
  </si>
  <si>
    <t>ANGLAIS</t>
  </si>
  <si>
    <t>ENGLISCH</t>
  </si>
  <si>
    <t>INGLESE</t>
  </si>
  <si>
    <t>INGLÉS</t>
  </si>
  <si>
    <t>영어</t>
  </si>
  <si>
    <t>英语</t>
  </si>
  <si>
    <t>英語</t>
  </si>
  <si>
    <t>INGLÊS</t>
  </si>
  <si>
    <t>option_japanese</t>
  </si>
  <si>
    <t>にほんご</t>
  </si>
  <si>
    <t>JAPANESE</t>
  </si>
  <si>
    <t>JAPONAIS</t>
  </si>
  <si>
    <t>JAPANISCH</t>
  </si>
  <si>
    <t>GIAPPONESE</t>
  </si>
  <si>
    <t>JAPONÉS</t>
  </si>
  <si>
    <t>일본어</t>
  </si>
  <si>
    <t>日语</t>
  </si>
  <si>
    <t>日語</t>
  </si>
  <si>
    <t>JAPONÊS</t>
  </si>
  <si>
    <t>option_spanish</t>
  </si>
  <si>
    <t>スペインご</t>
  </si>
  <si>
    <t>SPANISH</t>
  </si>
  <si>
    <t>ESPAGNOL</t>
  </si>
  <si>
    <t>SPANISCH</t>
  </si>
  <si>
    <t>SPAGNOLO</t>
  </si>
  <si>
    <t>ESPAÑOL</t>
  </si>
  <si>
    <t>스페인어</t>
  </si>
  <si>
    <t>西班牙语</t>
  </si>
  <si>
    <t>西班牙語</t>
  </si>
  <si>
    <t>ESPANHOL</t>
  </si>
  <si>
    <t>option_french</t>
  </si>
  <si>
    <t>フランスご</t>
  </si>
  <si>
    <t>FRENCH</t>
  </si>
  <si>
    <t>FRANÇAIS</t>
  </si>
  <si>
    <t>FRANZÖSISCH</t>
  </si>
  <si>
    <t>FRANCESE</t>
  </si>
  <si>
    <t>FRANCÉS</t>
  </si>
  <si>
    <t>프랑스어</t>
  </si>
  <si>
    <t>法语</t>
  </si>
  <si>
    <t>法語</t>
  </si>
  <si>
    <t>FRANCÊS</t>
  </si>
  <si>
    <t>option_german</t>
  </si>
  <si>
    <t>ドイツご</t>
  </si>
  <si>
    <t>GERMAN</t>
  </si>
  <si>
    <t>ALLEMAND</t>
  </si>
  <si>
    <t>DEUTSCH</t>
  </si>
  <si>
    <t>TEDESCO</t>
  </si>
  <si>
    <t>ALEMÁN</t>
  </si>
  <si>
    <t>독일어</t>
  </si>
  <si>
    <t>德语</t>
  </si>
  <si>
    <t>德語</t>
  </si>
  <si>
    <t>ALEMÃO</t>
  </si>
  <si>
    <t>option_italian</t>
  </si>
  <si>
    <t>イタリアご</t>
  </si>
  <si>
    <t>ITALIAN</t>
  </si>
  <si>
    <t>ITALIEN</t>
  </si>
  <si>
    <t>ITALIENISCH</t>
  </si>
  <si>
    <t>ITALIANO</t>
  </si>
  <si>
    <t>이탈리아어</t>
  </si>
  <si>
    <t>意大利语</t>
  </si>
  <si>
    <t>義大利語</t>
  </si>
  <si>
    <t>option_korean</t>
  </si>
  <si>
    <t>かんこくご</t>
  </si>
  <si>
    <t>KOREAN</t>
  </si>
  <si>
    <t>CORÉEN</t>
  </si>
  <si>
    <t>KOREANISCH</t>
  </si>
  <si>
    <t>COREANO</t>
  </si>
  <si>
    <t>한국어</t>
  </si>
  <si>
    <t>朝鲜语</t>
  </si>
  <si>
    <t>朝鮮語</t>
  </si>
  <si>
    <t>option_green</t>
  </si>
  <si>
    <t>みどり</t>
  </si>
  <si>
    <t>GREEN</t>
  </si>
  <si>
    <t>VERTE</t>
  </si>
  <si>
    <t>GRÜNE</t>
  </si>
  <si>
    <t>VERDE</t>
  </si>
  <si>
    <t>그린</t>
  </si>
  <si>
    <t>绿</t>
  </si>
  <si>
    <t>綠</t>
  </si>
  <si>
    <t>option_red</t>
  </si>
  <si>
    <t>あか</t>
  </si>
  <si>
    <t>RED</t>
  </si>
  <si>
    <t>ROUGE</t>
  </si>
  <si>
    <t>ROTE</t>
  </si>
  <si>
    <t>ROSSA</t>
  </si>
  <si>
    <t>ROJA</t>
  </si>
  <si>
    <t>레드</t>
  </si>
  <si>
    <t>红</t>
  </si>
  <si>
    <t>紅</t>
  </si>
  <si>
    <t>option_blue</t>
  </si>
  <si>
    <t>あお</t>
  </si>
  <si>
    <t>BLUE</t>
  </si>
  <si>
    <t>BLEUE</t>
  </si>
  <si>
    <t>BLAUE</t>
  </si>
  <si>
    <t>BLU</t>
  </si>
  <si>
    <t>AZUL</t>
  </si>
  <si>
    <t>블루</t>
  </si>
  <si>
    <t>蓝</t>
  </si>
  <si>
    <t>藍</t>
  </si>
  <si>
    <t>option_yellow</t>
  </si>
  <si>
    <t>ピカチュウ</t>
  </si>
  <si>
    <t>YELLOW</t>
  </si>
  <si>
    <t>JAUNE</t>
  </si>
  <si>
    <t>GELBE</t>
  </si>
  <si>
    <t>GIALLA</t>
  </si>
  <si>
    <t>AMARILLA</t>
  </si>
  <si>
    <t>피카츄</t>
  </si>
  <si>
    <t>皮卡丘</t>
  </si>
  <si>
    <t>option_gold</t>
  </si>
  <si>
    <t>きん</t>
  </si>
  <si>
    <t>GOLD</t>
  </si>
  <si>
    <t>OR</t>
  </si>
  <si>
    <t>GOLDENE</t>
  </si>
  <si>
    <t>ORO</t>
  </si>
  <si>
    <t>금</t>
  </si>
  <si>
    <t>金</t>
  </si>
  <si>
    <t>option_silver</t>
  </si>
  <si>
    <t>ぎん</t>
  </si>
  <si>
    <t>SILVER</t>
  </si>
  <si>
    <t>ARGENT</t>
  </si>
  <si>
    <t>SILBERNE</t>
  </si>
  <si>
    <t>ARGENTO</t>
  </si>
  <si>
    <t>PLATA</t>
  </si>
  <si>
    <t>은</t>
  </si>
  <si>
    <t>银</t>
  </si>
  <si>
    <t>銀</t>
  </si>
  <si>
    <t>option_crystal</t>
  </si>
  <si>
    <t>クリスタル</t>
  </si>
  <si>
    <t>CRYSTAL</t>
  </si>
  <si>
    <t>CRISTAL</t>
  </si>
  <si>
    <t>KRISTALL</t>
  </si>
  <si>
    <t>CRISTALLO</t>
  </si>
  <si>
    <t>크리스탈</t>
  </si>
  <si>
    <t>水晶版</t>
  </si>
  <si>
    <t>option_cancel</t>
  </si>
  <si>
    <t>キャンセル</t>
  </si>
  <si>
    <t>Cancel</t>
  </si>
  <si>
    <t>Annuler</t>
  </si>
  <si>
    <t>ANNULLA</t>
  </si>
  <si>
    <t>Cancelar</t>
  </si>
  <si>
    <t>취소하기</t>
  </si>
  <si>
    <t>press_start</t>
  </si>
  <si>
    <t>{CTR}STARTボタンをおして！{nCTR}</t>
  </si>
  <si>
    <t>{CTR}PUSH THE START BUTTON!{nCTR}</t>
  </si>
  <si>
    <t>{CTR}APPUYEZ SUR START!{nCTR}</t>
  </si>
  <si>
    <t>{CTR}DRÜCKE START!{nCTR}</t>
  </si>
  <si>
    <t>{CTR}PREMI START!{nCTR}</t>
  </si>
  <si>
    <t>{CTR}¡PULSA START!{nCTR}</t>
  </si>
  <si>
    <t>{CTR}¡PRESIONA START!{nCTR}</t>
  </si>
  <si>
    <t>{CTR}START버튼을 누러!{nCTR}</t>
  </si>
  <si>
    <t>{CTR}PRESSIONE O BOTÃO START{nCTR}</t>
  </si>
  <si>
    <t>option_transfer</t>
  </si>
  <si>
    <t>ポケモンをてんそう</t>
  </si>
  <si>
    <t>TRANSFER POKéMON</t>
  </si>
  <si>
    <t>TRANSFÉRER POKéMON</t>
  </si>
  <si>
    <t>TRASFERISCI POKéMON</t>
  </si>
  <si>
    <t>TRANSFERIR POKéMON</t>
  </si>
  <si>
    <t>포켓몬을 전송하기</t>
  </si>
  <si>
    <t>option_dreamdex</t>
  </si>
  <si>
    <t>ゆめずかん</t>
  </si>
  <si>
    <t>DREAM DEX</t>
  </si>
  <si>
    <t>ONIRIDEX</t>
  </si>
  <si>
    <t>꿈도감</t>
  </si>
  <si>
    <t>option_credits</t>
  </si>
  <si>
    <t>クレジット</t>
  </si>
  <si>
    <t>CREDITS</t>
  </si>
  <si>
    <t>CRÉDITS</t>
  </si>
  <si>
    <t>RICONOSCIMENTI</t>
  </si>
  <si>
    <t>CRÉDITOS</t>
  </si>
  <si>
    <t>크레딧</t>
  </si>
  <si>
    <t>option_text_debug</t>
  </si>
  <si>
    <t>デバッグテキストビューア</t>
  </si>
  <si>
    <t>Debug Text Viewer</t>
  </si>
  <si>
    <t>Débuggueur de texte</t>
  </si>
  <si>
    <t>Visualizzatore debug di testo</t>
  </si>
  <si>
    <t>Visor de Texto de Depuración</t>
  </si>
  <si>
    <t>Debugar Visualizador de Texto</t>
  </si>
  <si>
    <t>intro_first</t>
  </si>
  <si>
    <t>fullScreen</t>
  </si>
  <si>
    <t>Currently unused</t>
  </si>
  <si>
    <t>どうも！　ポケムーバーGBをしようしてくれて{NEW}ありがとうございます！　ポケムーバーGBは、ゲーム{NEW}ボーイとゲームボーイアドバンスどちらものセーブ{NEW}データをしゅうせいします。{NEW}ちゅうい！　ポケムーバーGBはもうベータばんじゃ{NEW}ないいっぽうで、しようするまえ、ゲームのセーブ{NEW}データをバックアップすることは、すいしょうします。{NEW}ごりょうしょうください。では、たのしんでください！{NEW}{NEW}ーThe Gears of Progress</t>
  </si>
  <si>
    <t>Hello! Thank you for using Poké Transporter GB!{NEW}{NEW}Just as a word of caution- Poké Transporter GB WILL modify both the Game Boy and Game Boy Advance save files.{NEW}{NEW}Please note that while Poké Transporter GB is no longer in beta, save file backups are still recommended before using. With that all being said, please enjoy!{NEW}{NEW}-The Gears of Progress</t>
  </si>
  <si>
    <t>Salut! Merci d’utiliser Poké Transfert GB!{NEW}Petit mot d’avertissement: Poké Transfert GB MODIFIE les sauvegardes des jeux Game Boy ET Game Boy Advance.{NEW}Notez que bien que Poké Transfert GB ne soit plus en bêta, les backups de sauvegardes restent recommandées avant son utilisation. Ceci étant dit, bons transferts!{NEW}-The Gears of Progress</t>
  </si>
  <si>
    <t xml:space="preserve">Ciao! Grazie per usare Pokétrasferitore GB!{NEW}{NEW} ATTENZIONE! I salvataggi GB e GBA saranno modificati.{NEW}{NEW} Il backup dei dati è consigliato prima di continuare. Buon divertimento!{NEW}{NEW} -The Gears of Progress
</t>
  </si>
  <si>
    <t>¡Hola! ¡Gracias por usar Poké Trasladador GB!{NEW}{NEW}Una advertencia: Poké Transporter GB MODIFICARÁ las partidas tanto de Game Boy como de Game Boy Advance.{NEW}{NEW} Ten en cuenta que, aunque Poké Transporter GB ya no está en fase beta, se recomienda hacer copias de seguridad de tus partidas. Dicho esto, ¡disfrútalo!{NEW}{NEW}-The Gears of Progress</t>
  </si>
  <si>
    <t>Olá! Obrigado por usar o Poké Transporter GB!{NEW}{NEW} Atenção: Poké Transporter GB VAI modificar os arquivos dos seus jogos de GB e GBA.{NEW}{NEW}Apesar de não estar mais  em fase beta, ainda é recomendável fazer backups. Dito isso, por favor aproveite!{NEW}{NEW}-The Gears of Progress</t>
  </si>
  <si>
    <t>intro_legal</t>
  </si>
  <si>
    <t>ポケムーバーGBは、ポケモンシリーズへのけいあいと{NEW}かんしゃからつくられたもので、りえきなど、いっさい{NEW}かんがえておりません。ポケムーバーGBは、これからも{NEW}ずっとムリョウで、ぶつりてきなカートリッジとして{NEW}はんばいされることは、けっしてありません。げんさくしゃを{NEW}サポートしてください。すべてのポケモンのなまえ、{NEW}ドットえ、そして、おんがくはニンテンドー、{NEW}クリーチャーズと、ゲームフリークにしょゆうされています。</t>
  </si>
  <si>
    <t>Poké Transporter GB was made out of love and appreciation for the POKéMON franchise with no profit in mind.{NEW}It will ALWAYS be free and never sold as a physical cartridge.{NEW}Please support the original developers.{NEW}All POKéMON names, sprites, and music are owned by Nintendo, Creatures, and GAME FREAK.</t>
  </si>
  <si>
    <t>Poké Transfert GB a été developpé avec amour et passion pour la licence POKéMON sans aucun objectif de profit.{NEW}Il sera TOUJOURS gratuit et jamais vendu en format physique.{NEW}Merci de soutenir les développeurs originaux.{NEW}Les noms des POKéMON, les sprites et les musiques sont la propriété de Nintendo, Creatures et GAME FREAK.</t>
  </si>
  <si>
    <t>Pokétrasferitore GB è stato creato con amore e passione verso il franchise POKéMON senza scopo di profitto.{NEW}Sarà SEMPRE gratis e non sarà mai venduto in formato fisico.{NEW}Si prega di supportare gli sviluppatori originali.{NEW}Tutti i nomi dei POKéMON, gli sprites e la musica sono di proprietà di Nintendo, Creatures, e GAME FREAK.</t>
  </si>
  <si>
    <t>Poké Trasladador GB fue creado por amor y aprecio a la franquicia POKéMON sin fines de lucro. SIEMPRE será gratuito y nunca se venderá como un cartucho físico. Por favor apoya a los desarrolladores originales.{NEW}Todos los nombres de POKéMON, sprites y música son propiedad de Nintendo, Creatures y GAME FREAK.</t>
  </si>
  <si>
    <t>Poké Transporter GB foi feito por amor pela franquia de POKéMON e sem fins financeiros. Será SEMPRE gratuito e nunca será vendido em forma física.{NEW}Por favor apoie os desenvolvedores originais. Todos os nomes, POKéMON, imagens e recursos relacionados são propriedades da Nintendo, Creatures e GAME FREAK.</t>
  </si>
  <si>
    <t>cart_load_error</t>
  </si>
  <si>
    <t>creditsBox</t>
  </si>
  <si>
    <t>ポケモンのレポートのよみこみはせいこうしません{NEW}でした。カートリッジをとりはずして、もういちど{NEW}さしこんで、Aボタンをおしてください。{NEW}{NEW}あるいは、このプログラムをもうひとつのゲームボーイ{NEW}アドバンスにてんそうするには、SELECTボタンを{NEW}おしてください。</t>
  </si>
  <si>
    <t>Failed to load the save file.{NEW}Please insert an official POKéMON Game Boy Advance Game Pak, and then press A.{NEW}{NEW}Alternatively, you can press SELECT to send this program to another Game Boy Advance.</t>
  </si>
  <si>
    <t>Échec du chagement de la sauvegarde.{NEW}Insérez une cartouche officielle puis appuyez sur A.{NEW}{NEW}Vous pouvez également appuyer sur SELECT pour envoyer ce programme vers une autre Game Boy Advance.</t>
  </si>
  <si>
    <t>I dati di salvataggio non sono stati caricati correttamente. Per favore inserisci una cassetta di gioco originale di POKéMON per Game Boy Advance e premi il tasto A.{NEW}Oppure, premi il tasto SELECT per trasferire questo programma ad un altro Game Boy Advance.</t>
  </si>
  <si>
    <t>La partida de POKéMON no se cargó correctamente. Retira e inserta de nuevo el cartucho y luego presiona A.{NEW}{NEW}O puedes presionar el botón Select para enviar este programa a otra Game Boy Advance.</t>
  </si>
  <si>
    <t>O arquivo de salvamento de POKéMON não foi carregado corretamente. Por favor remova e reinsira o jogo, e então pressione o botão A.{NEW}Como alternativa, pressione o botão SELECT para enviar esse programa para outro Game Boy Advance.</t>
  </si>
  <si>
    <t>pulled_cart_error</t>
  </si>
  <si>
    <t>largeBox</t>
  </si>
  <si>
    <t>ポケモンゲームは、とりはずされました。{NEW}でんげんをきって、プログラムを{NEW}さいきどうしてください。</t>
  </si>
  <si>
    <t>The POKéMON game was removed.{NEW}Please turn off the system and restart the program.</t>
  </si>
  <si>
    <t>La cartouche a été retirée.{NEW}{NEW}Éteignez la console puis redémarrez le programme.</t>
  </si>
  <si>
    <t>La cassetta è stato rimossa.{NEW}{NEW}Per favore spegni (OFF) la console e riavvia (ON) il software.</t>
  </si>
  <si>
    <t>El juego de POKéMON se retiró. Apaga el sistema y reinicia el programa.</t>
  </si>
  <si>
    <t>O jogo de POKéMON foi removido. Por favor desligue o sistema e reinicie o programa.</t>
  </si>
  <si>
    <t>send_multiboot_instructions</t>
  </si>
  <si>
    <t>ゲームボーイアドバンスせんようつうしんケーブルで{NEW}このほんたいを、マルチブートモードにしたもうひとつの{NEW}ゲームボーイアドバンスにつなげてください。{NEW}{NEW}それで、もうひとつのゲームボーイアドバンスに{NEW}ポケムーバーGBのそうしんをかいしするには、{NEW}Aボタンをおしてください。</t>
  </si>
  <si>
    <t>Please connect this system to another Game Boy Advance in Multiboot mode with a Game Boy Advance Link Cable.{NEW}{NEW}Then, press the A button to begin sending Poké Transporter GB to the second Game Boy Advance.</t>
  </si>
  <si>
    <t>Connectez une autre Game Boy Advance en mode Multiboot à celle-ci avec un Câble Link pour Game Boy Advance.{NEW}{NEW}Appuyez ensuite sur A pour démarrer l’envoi du Poké Transfert GB.</t>
  </si>
  <si>
    <t>Per favore connetti questo sistema ad un altro Game Boy Advance in modalità Multiboot con un Game Link Cable per Game Boy Advance.{NEW}{NEW}Poi, premi il tasto A per iniziare il trasferimento di Poké Transporter GB sull’altro Game Boy Advance.</t>
  </si>
  <si>
    <t>Conecta este sistema a otra Game Boy Advance en modo Multiboot con un cable link de Game Boy Advance. {NEW}{NEW}Luego, presiona el botón A para comenzar a enviar Poké Trasladador GB a la segunda Game Boy Advance.</t>
  </si>
  <si>
    <t>Por favor conecte esse sistema a outro Game Boy Advance no modo Multiboot através do Cabo Link de Game Boy Advance. {NEW}{NEW}Depois, pressione o botão A para começar a enviar o Poké Transporter GB para o outro Game Boy Advance.</t>
  </si>
  <si>
    <t>send_multiboot_wait</t>
  </si>
  <si>
    <t>ポケムーバーGBをもうひとつのゲームボーイアドバンス{NEW}ほんたいにそうしんちゅう。おまちください。{NEW}{NEW}Bボタンをながおしでキャンセル。</t>
  </si>
  <si>
    <t>Sending Poké Transporter GB to the second Game Boy Advance system.{NEW}Please wait.{NEW}{NEW}Hold B to cancel.</t>
  </si>
  <si>
    <t>Envoi du Poké Transfert GB vers l’autre Game Boy Advance.{NEW}Veuillez patienter.{NEW}{NEW}Maintenez B pour annuler.</t>
  </si>
  <si>
    <t>Inviando Pokétrasferitore GB ad un altro sistema Game Boy Advance. Attendi.{NEW}{NEW}Tieni premuto il tasto B per annullare.</t>
  </si>
  <si>
    <t>Enviando Poké Trasladador GB al segundo sistema Game Boy Advance. Por favor, espera.{NEW}{NEW}Mantén presionado B para cancelar.</t>
  </si>
  <si>
    <t>Enviando Poké Transporter GB para o segundo Game Boy Advance. Por favor aguarde. {NEW}{NEW}Segure o botão B para cancelar.</t>
  </si>
  <si>
    <t>send_multiboot_success</t>
  </si>
  <si>
    <t>ポケムーバーGBはぶじにそうしんされました！{NEW}このゲームボーイアドバンスほんたいのでんげんは{NEW}もうきってもいいです。</t>
  </si>
  <si>
    <t>Poké Transporter GB was sent successfully!{NEW}You may now power off this{NEW}Game Boy Advance system.</t>
  </si>
  <si>
    <t>Poké Transfert GB envoyé avec succès!{NEW}Vous pouvez éteindre la Game Boy Advance source.</t>
  </si>
  <si>
    <t>Pokétrasferitore GB è stato avviato correttamente! {NEW} Ora puoi spegnere questo {NEW} Game Boy Advance.</t>
  </si>
  <si>
    <t>{NEW}¡Poké Trasladador GB se envió con éxito! Ya puedes apagar este sistema Game Boy Advance.</t>
  </si>
  <si>
    <t>{NEW}Poké Transporter GB foi enviado com sucesso! Agora você já pode desligar esse GameBoy Advance.</t>
  </si>
  <si>
    <t>send_multiboot_failure</t>
  </si>
  <si>
    <t>ポケムーバーGBそうしんちゅうにエラーが{NEW}はっせいしました。せつめいがめんにもどって{NEW}やりなおすには、Aボタンをおしてください。</t>
  </si>
  <si>
    <t>An error occurred while sending{NEW}Poké Transporter GB.{NEW}{NEW}Press the A button to return to the instructions screen and try again.</t>
  </si>
  <si>
    <t>Une erreur est survenue lors de l’envoi du Poké Transfert GB.{NEW}{NEW}Appuyez sur A pour revenir à l’écran d’instructions puis réessayez.</t>
  </si>
  <si>
    <t>Si è verificato un errore durante il trasferimento.{NEW}{NEW}Premi il tasto A per tornare alla schermata delle istruzioni e riprova.</t>
  </si>
  <si>
    <t>{NEW}Ocurrió un error al enviar Poké Trasladador GB. Presiona A para volver a la pantalla de instrucciones e inténtalo de nuevo.</t>
  </si>
  <si>
    <t>{NEW}Um erro ocorreu na transferência do Poké Transporter GB. Pressione o botão A para retornar para a tela de instruções e tentar novamente.</t>
  </si>
  <si>
    <t>kanto_name</t>
  </si>
  <si>
    <t>This is used in the Dex to show the number of Pokemon, hence the colon</t>
  </si>
  <si>
    <t>カントー：</t>
  </si>
  <si>
    <t>KANTO:</t>
  </si>
  <si>
    <t>관동:</t>
  </si>
  <si>
    <t>关都：</t>
  </si>
  <si>
    <t>關都：</t>
  </si>
  <si>
    <t>johto_name</t>
  </si>
  <si>
    <t>Ditto ^</t>
  </si>
  <si>
    <t>ジョウト：</t>
  </si>
  <si>
    <t>JOHTO:</t>
  </si>
  <si>
    <t>성도:</t>
  </si>
  <si>
    <t>城都：</t>
  </si>
  <si>
    <t>link_success</t>
  </si>
  <si>
    <t>mediumBox</t>
  </si>
  <si>
    <t>{CTR}せつぞくにせいこう！{NEW}こうかんをたいきちゅう{nCTR}</t>
  </si>
  <si>
    <t>{CTR}Link was successful!{NEW}Waiting for trade…{nCTR}</t>
  </si>
  <si>
    <t>{CTR}Connexion établie!{NEW}En attente de l’échange…{nCTR}</t>
  </si>
  <si>
    <t>{CTR}Il collegamento è avvenuto con successo!{NEW}Attendi per lo scambio…{nCTR}</t>
  </si>
  <si>
    <t>{NEW}¡Conexión exitosa!{NEW}Esperando intercambio</t>
  </si>
  <si>
    <t>{NEW}{CTR}A conexão foi um sucesso!{nCTR}{CTR}Aguardando troca{nCTR}</t>
  </si>
  <si>
    <t>link_success_yellow</t>
  </si>
  <si>
    <t>{CTR}せつぞくにせいこう！{NEW}たいせんをたいきちゅう{nCTR}</t>
  </si>
  <si>
    <t>{CTR}Link was successful!{NEW}Waiting for battle…{nCTR}</t>
  </si>
  <si>
    <t>{CTR}Connexion établie!{NEW}En attente du combat…{nCTR}</t>
  </si>
  <si>
    <t>{CTR}Il collegamento è avvenuto con successo!{NEW}Attendi per la lotta…{nCTR}</t>
  </si>
  <si>
    <t>{NEW}¡Conexión exitosa!{NEW}Esperando batalla</t>
  </si>
  <si>
    <t>{NEW}{CTR}A conexão foi um sucesso!{nCTR}{CTR}Aguardando batalha{nCTR}</t>
  </si>
  <si>
    <t>connecting</t>
  </si>
  <si>
    <t>{CTR}ゲームボーイに{NEW}せつぞくちゅう{nCTR}</t>
  </si>
  <si>
    <t>{CTR}Connecting to{NEW}Game Boy…{nCTR}</t>
  </si>
  <si>
    <t>{NEW}{CTR}Connexion à{NEW}la Game Boy…{nCTR}</t>
  </si>
  <si>
    <t>{CTR}Connessione al{NEW}Game Boy…{nCTR}</t>
  </si>
  <si>
    <t>{NEW}{NEW}Conectando a{NEW}Game Boy</t>
  </si>
  <si>
    <t>{NEW}{CTR}Conectando ao{nCTR}{CTR}Game Boy{nCTR}</t>
  </si>
  <si>
    <t>transferring</t>
  </si>
  <si>
    <t>{CTR}データをつうしんちゅう‥‥{NEW}おまちください！{nCTR}</t>
  </si>
  <si>
    <t>{CTR}Transferring data…{NEW}Please wait!{nCTR}</t>
  </si>
  <si>
    <t>{CTR}Transfert de données…{NEW}Veuillez patienter!{nCTR}</t>
  </si>
  <si>
    <t>{CTR}Trasferimento dati…{NEW}Attendi!{nCTR}</t>
  </si>
  <si>
    <t>{NEW}Transfiriendo datos…{NEW}¡por favor, espera!</t>
  </si>
  <si>
    <t>{NEW}{CTR}Transferindo dados…{nCTR}{CTR}Por favor aguarde!{nCTR}</t>
  </si>
  <si>
    <t>level</t>
  </si>
  <si>
    <t>This is used in the box menu (Lv:)</t>
  </si>
  <si>
    <t>{LVL}：</t>
  </si>
  <si>
    <t xml:space="preserve">{LVL}: </t>
  </si>
  <si>
    <t>{LVL}</t>
  </si>
  <si>
    <t>{LVL}:</t>
  </si>
  <si>
    <t>credits_page_1</t>
  </si>
  <si>
    <t>{CTR}The Gears of Progressによってつくられた{NEW}{NEW}Striaton Lab Teamによってかいはつされた{nCTR}</t>
  </si>
  <si>
    <t>{CTR}Created by The Gears of Progress{NEW}{NEW}Developed by the Striaton Lab Team{nCTR}</t>
  </si>
  <si>
    <t>{CTR}Créé par The Gears of Progress{NEW}{NEW}Développé par la Striaton Lab Team{nCTR}</t>
  </si>
  <si>
    <t>{CTR}Creato da The Gears of Progress{NEW}{NEW}Sviluppato dal Team Striaton Lab{nCTR}</t>
  </si>
  <si>
    <t>Desarrollador principal:{NEW}{NEW}The Gears of Progress</t>
  </si>
  <si>
    <t>리드 개발자:{NEW}{NEW}The Gears of Progress</t>
  </si>
  <si>
    <t>Desenvolvedor principal:{NEW}{NEW}The Gears of Progress</t>
  </si>
  <si>
    <t>credits_page_2</t>
  </si>
  <si>
    <t>{CTR}Striaton Labかいはつしゃ：{NEW}-The Gears of Progress{nCTR}-TimoVM{SPA}[49]-RisingPhil{NEW}-EasyAsPi314{SPA}[9]-aestellic{NEW}-Essometer{SPA}[25]-vpraion</t>
  </si>
  <si>
    <t>{CTR}- Striaton Lab Team -{NEW}{NEW}Developers:{NEW}-The Gears of Progress{nCTR}{SPA}[26]-TimoVM{SPA}[54]-RisingPhil{NEW}{SPA}[26]-EasyAsPi314{SPA}[24]-aestellic{NEW}{SPA}[26]-Essometer{SPA}[35]-vpraion</t>
  </si>
  <si>
    <t>{CTR}- Striaton Lab Team -{NEW}{NEW}Développeurs:{NEW}-The Gears of Progress{nCTR}{SPA}[26]-TimoVM{SPA}[54]-RisingPhil{NEW}{SPA}[26]-EasyAsPi314{SPA}[24]-aestellic{NEW}{SPA}[26]-Essometer{SPA}[35]-vpraion</t>
  </si>
  <si>
    <t>{CTR}- Striaton Lab Team -{NEW}{NEW}Sviluppatori:{NEW}-The Gears of Progress{nCTR}{SPA}[26]-TimoVM{SPA}[54]-RisingPhil{NEW}{SPA}[26]-EasyAsPi314{SPA}[24]-aestellic{NEW}{SPA}[26]-Essometer{SPA}[35]-vpraion</t>
  </si>
  <si>
    <t>Logo y co-ideador:{NEW}-Jome{NEW}{NEW}Arte de sprites:{NEW}-LJ Birdman</t>
  </si>
  <si>
    <t>로고와 및 공동 창안가:{NEW}-Jome{NEW}{NEW}스프라이트 제작자:{NEW}-LJ Birdman</t>
  </si>
  <si>
    <t>Logo e co-idealizador:{NEW}-Jome{NEW}{NEW}Arte de sprites:{NEW}-LJ Birdman</t>
  </si>
  <si>
    <t>credits_page_3</t>
  </si>
  <si>
    <t>{CTR}Striaton Labアーティスト：{NEW}-LJBirdman{NEW}{NEW}Striaton Labおんがくか：{NEW}-AquaticAlloy{NEW}-Minra Starlight{nCTR}</t>
  </si>
  <si>
    <t>{CTR}- Striaton Lab Team -{NEW}{NEW}Artists:{NEW}-LJBirdman{NEW}{NEW}Musicians: {NEW}-AquaticAlloy{NEW}-Minra Starlight{nCTR}</t>
  </si>
  <si>
    <t>{CTR}- Striaton Lab Team -{NEW}{NEW}Artistes:{NEW}-LJBirdman{NEW}{NEW}Musiciens:{NEW}-AquaticAlloy{NEW}-Minra Starlight{nCTR}</t>
  </si>
  <si>
    <t>{CTR}- Striaton Lab Team -{NEW}{NEW}Artisti:{NEW}-LJBirdman{NEW}{NEW}Musicisti: {NEW}-AquaticAlloy{NEW}-Minra Starlight{nCTR}</t>
  </si>
  <si>
    <t>Sprites de iconos: {NEW}-LuigiTKO{NEW}-GuiAbel{NEW}-SourApple{NEW}y los artistas de POKéMON Showdown y Crystal Clear</t>
  </si>
  <si>
    <t>아이콘 스프라이트 제작자:{NEW}-LuigiTKO{NEW}-GuiAbel{NEW}-SourApple{NEW}&amp; POKéMON Showdown과 Crystal Clear의 아티스트들</t>
  </si>
  <si>
    <t>Sprites de ícones: {NEW}-LuigiTKO{NEW}-GuiAbel{NEW}-SourApple{NEW}e os artistas de POKéMON Showdown e Crystal Clear</t>
  </si>
  <si>
    <t>credits_page_4</t>
  </si>
  <si>
    <t>{CTR}Striaton Labほんやくしゃ：{nCTR}{SPA}[24]にほんご：Petrosjd{NEW}{SPA}[16]フランスご：Lugiadrien{NEW}{SPA}[24]ドイツご：Ayumea{NEW}スペインごES：Yuraite{NEW}{NEW}{CTR}CONTINUED▶{nCTR}</t>
  </si>
  <si>
    <t>{CTR}- Striaton Lab Team -{NEW}{NEW}Translators:{nCTR}{SPA}[35]Japanese: Petrosjd{NEW}{SPA}[48]French: Lugiadrien{NEW}{SPA}[48]German: Ayumea{NEW}{SPA}[25]Spanish-ES: Yuraite{NEW}{CTR}CONTINUED▶{nCTR}</t>
  </si>
  <si>
    <t>{CTR}- Striaton Lab Team -{NEW}{NEW}Traducteurs:{nCTR}{SPA}[37]Japonais: Petrosjd{NEW}{SPA}[38]Français: Lugiadrien{NEW}{SPA}[39]Allemand: Ayumea{NEW}{SPA}[19]Espagnol-ES: Yuraite{NEW}{CTR}SUITE▶{nCTR}</t>
  </si>
  <si>
    <t>{CTR}- Striaton Lab Team -{NEW}{NEW}Traduttori:{nCTR}{SPA}[25]Giapponese: Petrosjd{NEW}{SPA}[36]Francese: Lugiadrien{NEW}{SPA}[41]Tedesco: Ayumea{NEW}{SPA}[19]Spagnolo-ES: Yuraite{NEW}{CTR}CONTINUA▶{nCTR}</t>
  </si>
  <si>
    <t xml:space="preserve">Asistencia de ejecución de código remoto y arbitrario:{NEW}-TimoVM
</t>
  </si>
  <si>
    <t>Assistência de execução de código remoto e arbitrário:{NEW}-TimoVM</t>
  </si>
  <si>
    <t>credits_page_5</t>
  </si>
  <si>
    <t>{CTR}Striaton Labほんやくしゃ：{nCTR}イタリアご：D・『Lagger』Garlini{NEW}{SPA}[48]A・Chieffi{NEW}スペインごLA：Christóbal{NEW}{SPA}[16]ブラポルご：Hyd</t>
  </si>
  <si>
    <t>{CTR}- Striaton Lab Team -{NEW}{NEW}Translators:{nCTR}{SPA}[45]Italian: D. ‘Lagger’ Garlini{NEW}{SPA}[92]A. Chieffi{NEW}{SPA}[25]Spanish-LA: Christóbal{NEW}{SPA}[6]Portuguese-BR: Hyd</t>
  </si>
  <si>
    <t>{CTR}- Striaton Lab Team -{NEW}{NEW}Traducteurs:{nCTR}{SPA}[45]Italien: Lagger / alechieffi{NEW}{SPA}[19]Espagnol-LA: Christóbal{NEW}{SPA}[14]Portugais-BR: Hyd</t>
  </si>
  <si>
    <t>{CTR}- Striaton Lab Team -{NEW}{NEW}Traduttori:{nCTR}{SPA}[39]Italiano: D. ‘Lagger’ Garlini{NEW}{SPA}[92]A. Chieffi{NEW}{SPA}[19]Spagnolo-LA: Christóbal{NEW}{SPA}[6]Portoghese-BR: Hyd</t>
  </si>
  <si>
    <t xml:space="preserve">Asistencia de desarrollo:{NEW}-im a blisy{NEW}-rileyk64{NEW}-Shao
</t>
  </si>
  <si>
    <t>Assistência de desenvolvimento:{NEW}-im a blisy{NEW}-rileyk64{NEW}-Shao</t>
  </si>
  <si>
    <t>credits_page_6</t>
  </si>
  <si>
    <t>{CTR}かいはつえんじょ：{NEW}-im a blisy{NEW}-rileyk64{NEW}-Shao{nCTR}</t>
  </si>
  <si>
    <t>{CTR}Development assistance:{NEW}-im a blisy{NEW}-rileyk64{NEW}-Shao{nCTR}</t>
  </si>
  <si>
    <t>{CTR}Support au développement:{NEW}-im a blisy{NEW}-rileyk64{NEW}-Shao{nCTR}</t>
  </si>
  <si>
    <t>{CTR}Sviluppatori aggiuntivi:{NEW}-im a blisy{NEW}-rileyk64{NEW}-Shao{nCTR}</t>
  </si>
  <si>
    <t>Optimización de espacio:{NEW}-easyaspi314{NEW}{NEW}Funcionalidad de Multiboot remoto y compresión de datos:{NEW}-risingPhil</t>
  </si>
  <si>
    <t>Otimização de espaço:{NEW}-easyaspi314{NEW}{NEW}Funcionalidade de Multiboot remoto e compressão de dados:{NEW}-risingPhil</t>
  </si>
  <si>
    <t>credits_page_7</t>
  </si>
  <si>
    <t>{CTR}このライブラリーでビルドできた：{NEW}-DevkitPro{NEW}-LibTonc{nCTR}</t>
  </si>
  <si>
    <t>{CTR}Built using:{NEW}-DevkitPro{NEW}-LibTonc{NEW}{nCTR}</t>
  </si>
  <si>
    <t>{CTR}Monté avec:{NEW}-DevkitPro{NEW}-LibTonc{NEW}{nCTR}</t>
  </si>
  <si>
    <t>{CTR}Sviluppato con:{NEW}-DevkitPro{NEW}-LibTonc{NEW}{nCTR}</t>
  </si>
  <si>
    <t>Construido usando:{NEW}-DevkitPro{NEW}-LibTonc{NEW}-LibGBA</t>
  </si>
  <si>
    <t>Construído usando:{NEW}-DevkitPro{NEW}-LibTonc{NEW}-LibGBA</t>
  </si>
  <si>
    <t>credits_page_8</t>
  </si>
  <si>
    <t>{CTR}このひとびとのできごとからひらめきをえた：{NEW}-Goppier{NEW}-Lorenzooone{NEW}-im a blisy{NEW}-RETIRE{nCTR}</t>
  </si>
  <si>
    <t>{CTR}Inspired by the works of:{NEW}-Goppier{NEW}-Lorenzooone{NEW}-im a blisy{NEW}-RETIRE{nCTR}</t>
  </si>
  <si>
    <t>{CTR}Inspiré du travail de:{NEW}-Goppier{NEW}-Lorenzooone{NEW}-im a blisy{NEW}-RETIRE{nCTR}</t>
  </si>
  <si>
    <t>{CTR}Ispirato dai progetti di:{NEW}-Goppier{NEW}-Lorenzooone{NEW}-im a blisy{NEW}-RETIRE{nCTR}</t>
  </si>
  <si>
    <t>Inspirado por los trabajos de:{NEW}-Goppier{NEW}-Lorenzooone{NEW}-im a blisy{NEW}-RETIRE</t>
  </si>
  <si>
    <t>Inspirado pelos trabalhos de:{NEW}-Goppier{NEW}-Lorenzooone{NEW}-im a blisy{NEW}-RETIRE</t>
  </si>
  <si>
    <t>credits_page_9</t>
  </si>
  <si>
    <t>{CTR}つかったプログラム：{NEW}-HexManiacAdvance{NEW}-PKHeX{NEW}-WC3Tool{NEW}-Usenti{NEW}-SappyMidToAGB{nCTR}</t>
  </si>
  <si>
    <t>{CTR}Programs used:{NEW}-HexManiacAdvance{NEW}-PKHeX{NEW}-WC3Tool{NEW}-Usenti{NEW}-SappyMidToAGB{nCTR}</t>
  </si>
  <si>
    <t>{CTR}Programmes utilisés:{NEW}-HexManiacAdvance{NEW}-PKHeX{NEW}-WC3Tool{NEW}-Usenti{NEW}-SappyMidToAGB{nCTR}</t>
  </si>
  <si>
    <t>{CTR}Programmi utilizzati:{NEW}-HexManiacAdvance{NEW}-PKHeX{NEW}-WC3Tool{NEW}-Usenti{NEW}-SappyMidToAGB{nCTR}</t>
  </si>
  <si>
    <t>Programas usados:{NEW}-HexManiacAdvance{NEW}-PKHeX{NEW}-WC3Tool{NEW}-Usenti{NEW}-SappyMidToAGB</t>
  </si>
  <si>
    <t>Programas usados:{NEW}-HexManiacAdvance{NEW}-PKHeX{NEW}-WX3Tool{NEW}-Usenti{NEW}-SappyMidToAGB</t>
  </si>
  <si>
    <t>credits_page_10</t>
  </si>
  <si>
    <t>{CTR}オープンソースコードとライブラリー：{NEW}-libtonc-examples{NEW}-PokemonGen3toGenX{NEW}-gba-link-connection{NEW}-awesome-gbadev{NEW}-arduino-poke-gen2{nCTR}</t>
  </si>
  <si>
    <t>{CTR}Open Source Code and Libraries:{NEW}-libtonc-examples{NEW}-PokemonGen3toGenX{NEW}-gba-link-connection{NEW}-awesome-gbadev{NEW}-arduino-poke-gen2{nCTR}</t>
  </si>
  <si>
    <t>{CTR}Code Open Source et bibliothèques:{NEW}-libtonc-examples{NEW}-PokemonGen3toGenX{NEW}-gba-link-connection{NEW}-awesome-gbadev{NEW}-arduino-poke-gen2{nCTR}</t>
  </si>
  <si>
    <t>{CTR}Codice open source e librerie:{NEW}-libtonc-examples{NEW}-PokemonGen3toGenX{NEW}-gba-link-connection{NEW}-awesome-gbadev{NEW}-arduino-poke-gen2{nCTR}</t>
  </si>
  <si>
    <t>Código fuente abierto y librerías:{NEW}-libtonc-examples{NEW}-PokemonGen3toGenX{NEW}-gba-link-connection{NEW}-awesome-gbadev{NEW}-arduino-poke-gen2</t>
  </si>
  <si>
    <t>Código Open Source e Libraries:{NEW}-libtonc-examples{NEW}-PokemonGen3toGenX{NEW}-gba-link-connection{NEW}-awesome-gbadev{NEW}-arduino-poke-gen2</t>
  </si>
  <si>
    <t>credits_page_11</t>
  </si>
  <si>
    <t>{CTR}けんきゅうリソース：{NEW}-arm-docs{NEW}-PokemonGen3toGenX{NEW}{NEW}すべてのリンクはこのプログラムのGitHubで{NEW}みつけることができます{nCTR}</t>
  </si>
  <si>
    <t>{CTR}Research resources:{NEW}-arm-docs{NEW}-PokemonGen3toGenX{NEW}{NEW}Full links can be found on this program’s GitHub{nCTR}</t>
  </si>
  <si>
    <t>{CTR}Ressources des recherches:{NEW}-arm-docs{NEW}-PokemonGen3toGenX{NEW}{NEW}Tous les liens sont disponibles sur le Github du programme{nCTR}</t>
  </si>
  <si>
    <t>{CTR}Fonti di ricerca:{NEW}-arm-docs{NEW}-PokemonGen3toGenX{NEW}{NEW}I link completi possono essere trovati sul GitHub di questo programma.{nCTR}</t>
  </si>
  <si>
    <t>Recursos de investigación:{NEW}-arm-docs{NEW}-PokemonGen3toGenX{NEW}Los enlaces completos se pueden encontrar en el GitHub de este programa</t>
  </si>
  <si>
    <t>Research resources:{NEW}-arm-docs{NEW}-PokemonGen3toGenX{NEW}{NEW}Full links can be found on this program’s GitHub</t>
  </si>
  <si>
    <t>credits_page_12</t>
  </si>
  <si>
    <t>{CTR}ロムのデータはPRETチームが{NEW}デコンパイルしたものからきました。{nCTR}</t>
  </si>
  <si>
    <t>{CTR}ROM data obtained from decompilations created by the PRET team{nCTR}</t>
  </si>
  <si>
    <t>{CTR}Données de ROM obtenues par{NEW}les décompilaltions créées par{NEW}la team PRET{nCTR}</t>
  </si>
  <si>
    <t>{CTR}I dati delle ROM sono stati ottenuti dalle decompilazioni create dal team PRET.{nCTR}</t>
  </si>
  <si>
    <t>Datos de ROMs obtenidos de las descompilaciones creadas por{NEW}el equipo PRET</t>
  </si>
  <si>
    <t>Dados das ROMs obtidos das descompilações criadas pela equipe PRET</t>
  </si>
  <si>
    <t>credits_page_13</t>
  </si>
  <si>
    <t>{CTR}ポケモンのデータのもと：{NEW}-Bulbapedia{NEW}-Serebii{NEW}-PokeAPI.com{nCTR}</t>
  </si>
  <si>
    <t>{CTR}POKéMON data obtained from:{NEW}-Bulbapedia{NEW}-Serebii{NEW}-PokeAPI.com{nCTR}</t>
  </si>
  <si>
    <t>{CTR}Données des POKéMON obtenues sur:{NEW}-Bulbapedia{NEW}-Serebii{NEW}-PokeAPI.com{nCTR}</t>
  </si>
  <si>
    <t>{CTR}I dati dei POKéMON sono stati ottenuti da:{NEW}-Bulbapedia{NEW}-Serebii{NEW}-PokeAPI.com{nCTR}</t>
  </si>
  <si>
    <t>Datos de POKéMON obtenidos de:{NEW}-Bulbapedia{NEW}-Serebii{NEW}-PokeAPI.com</t>
  </si>
  <si>
    <t>Dados dos POKéMON obtidos de: {NEW}-Bulbapedia{NEW}-Serebii{NEW}-PokeAPI.com</t>
  </si>
  <si>
    <t>credits_page_14</t>
  </si>
  <si>
    <t>{CTR}Discordコミュニティーのえんじょ：{NEW}-Hex Maniac Advance{NEW}Development{NEW}-gbadev{NEW}-pret{nCTR}</t>
  </si>
  <si>
    <t>{CTR}Discord community assistance:{NEW}-Hex Maniac Advance{NEW} Development{NEW}-gbadev{NEW}-pret{nCTR}</t>
  </si>
  <si>
    <t>{CTR}Support communautaire Discord:{NEW}-Hex Maniac Advance{NEW}Développement{NEW}-gbadev{NEW}-pret{nCTR}</t>
  </si>
  <si>
    <t>{CTR}Supporto Discord{NEW}-Hex Maniac Advance{NEW} Sviluppo{NEW}-gbadev{NEW}-pret{nCTR}</t>
  </si>
  <si>
    <t>Asistencia de la comunidad de Discord:{NEW}-Hex Maniac Advance{NEW} Development{NEW}-gbadev{NEW}-pret</t>
  </si>
  <si>
    <t>Ajuda com a comunidade do Discord:{NEW}-Hex Maniac Advance{NEW} Desenvolvimento{NEW}-gbadev{NEW}-pret</t>
  </si>
  <si>
    <t>credits_page_15</t>
  </si>
  <si>
    <t>{CTR}さくぶんえんじょ：{NEW}-Mad{nCTR}</t>
  </si>
  <si>
    <t>{CTR}Writing assistance:{NEW}-Mad{nCTR}</t>
  </si>
  <si>
    <t>{CTR}Aide à l’écriture:{NEW}-Mad{nCTR}</t>
  </si>
  <si>
    <t>{CTR}Aiuto scrittura:{NEW}-Mad{nCTR}</t>
  </si>
  <si>
    <t>Asistencia de redacción:{NEW}-Mad</t>
  </si>
  <si>
    <t>Assistência de escrita: {NEW}-Mad</t>
  </si>
  <si>
    <t>credits_page_16</t>
  </si>
  <si>
    <t>{CTR}セーブデータのよみこみ、そして、かきこみのてつだいを{NEW}してくださったLorenzoooneへのひじょうに{NEW}おおきなありがとうございますをもうしあげます。{NEW}そのてつだいぬきでは、このプロジェクトは{NEW}ふかのうでした。{nCTR}</t>
  </si>
  <si>
    <t>{CTR}An immense thanks to Lorenzooone for their assistance in reading &amp; writing save data. Without them, this project would not have been possible.{nCTR}</t>
  </si>
  <si>
    <t>{CTR}Un grand merci à Lorenzooone pour son aide à la lecture et l’écriture des données de sauvegarde.{NEW}Sans iel, ce projet n’aurait jamais été possible.{nCTR}</t>
  </si>
  <si>
    <t>{CTR}Un grande ringraziamento a Lorenzooone per il suo aiuto nella lettura e la scrittura dei dati di salvataggio. Senza di essi, questo progetto non sarebbe stato possibile.{nCTR}</t>
  </si>
  <si>
    <t>Un inmenso agradecimiento a Lorenzooone por su ayuda en{NEW}la lectura y escritura de las{NEW}partidas. Sin su apoyo,{NEW} este proyecto no existiría.</t>
  </si>
  <si>
    <t>Um grande obrigado para Lorenzooone por sua assistência em leitura &amp; escrita dos dados de salvamento do jogo. Sem isso esse projeto não seria possível.</t>
  </si>
  <si>
    <t>credits_page_17</t>
  </si>
  <si>
    <t>{CTR}roku、Sleepy、Eza、{NEW}sarahtonin、Basabi、Mad、そして、{NEW}なんすうねんもこのせいさくについてのはなしをきいて{NEW}くれたみなさまへ、とくべつなありがとうございますを！{nCTR}</t>
  </si>
  <si>
    <t>{CTR}Special thanks to roku, Sleepy, Eza, sarahtonin, Basabi, Mad, and everyone who has listened to me talk about this for multiple years!{nCTR}</t>
  </si>
  <si>
    <t>{CTR}Remerciements spéciaux à roku, Sleepy, Eza, sarahtonin, Basabi, Mad et toutes celles et ceux qui m’ont écouté parler de ce projet pendant des années!{nCTR}</t>
  </si>
  <si>
    <t>{CTR}Un ringraziamento speciale a roku, Sleepy, Eza, sarahtonin, Basabi, Mad, e a tutti coloro che mi hanno ascoltato in questi anni quando parlavo di questo progetto!{nCTR}</t>
  </si>
  <si>
    <t>Agradecimientos especiales a roku, Sleepy, Eza, sarahtonin, Basabi, Mad, ¡y a todos los que me han escuchado hablar de esto durante años!</t>
  </si>
  <si>
    <t>Agradecimento especial para roky, Sleepy, Eza, sarahtonin, Basabi, Mad e todos que me ouviram falando sobre isso por vários anos!</t>
  </si>
  <si>
    <t>credits_page_18</t>
  </si>
  <si>
    <t>{CTR}すべてのポケモンのなまえ、ドットえ、かんれんの{NEW}リソースのなまえは、ニンテンドー、クリーチャーズと、{NEW}ゲームフリークのちょさくけんです。{nCTR}</t>
  </si>
  <si>
    <t>{CTR}All POKéMON names, sprites, and names of related resources are copyright Nintendo, Creatures, and GAME FREAK.{nCTR}</t>
  </si>
  <si>
    <t>{CTR}Les noms des POKéMON, les sprites et les noms de toute ressource y étant relatives sont la propriété de Nintendo, Creatures et GAME FREAK.{nCTR}</t>
  </si>
  <si>
    <t>{CTR}Tutti i nomi POKéMON, gli sprites,{NEW}e i tutti i nomi relativi alle opere sono copyright di Nintendo, Creatures, e GAME FREAK.{nCTR}</t>
  </si>
  <si>
    <t>Todos los nombres de POKéMON, sprites y nombres de recursos relacionados son propiedad de Nintendo, Creatures y{NEW}GAME FREAK.</t>
  </si>
  <si>
    <t>Todos os nomes dos POKéMON, suas imagens e nomes de recursos relacionados são propriedades da Nintendo, Creatures e GAME FREAK.</t>
  </si>
  <si>
    <t>credits_page_19</t>
  </si>
  <si>
    <t>{CTR}このプロジェクトは、ゲームフリーク/ニンテンドーに{NEW}よって、しょうにんされていません。{NEW}{NEW}げんさくしゃをサポートしてください。{nCTR}</t>
  </si>
  <si>
    <t>{CTR}This project is not endorsed or supported by GAME FREAK/Nintendo.{NEW}{NEW}Please support the original developers.{nCTR}</t>
  </si>
  <si>
    <t>{CTR}Ce projet n’est ni approuvé ni soutenu par GAME FREAK/Nintendo.{NEW}{NEW}Merci de soutenir les développeurs originaux.{nCTR}</t>
  </si>
  <si>
    <t>{CTR}Questo progetto non è sostenuto o supportato da GAME FREAK/Nintendo.{NEW}{NEW}Si prega di supportare gli sviluppatori originali.{nCTR}</t>
  </si>
  <si>
    <t>Este proyecto no está avalado ni respaldado por GAME FREAK/Nintendo.{NEW}{NEW}Por favor, apoya a los desarrolladores originales.</t>
  </si>
  <si>
    <t>Esse projeto não é aprovado ou suportado pela GRAME FREAK/Nintendo.{NEW}{NEW}Por favor apoie os desenvolvedores originais.</t>
  </si>
  <si>
    <t>PKMN_NAMES</t>
  </si>
  <si>
    <t>けつばん</t>
  </si>
  <si>
    <t>MISSINGNO.</t>
  </si>
  <si>
    <t>フシギダネ</t>
  </si>
  <si>
    <t>BULBASAUR</t>
  </si>
  <si>
    <t>BULBIZARRE</t>
  </si>
  <si>
    <t>BISASAM</t>
  </si>
  <si>
    <t>이상해씨</t>
  </si>
  <si>
    <t>妙蛙种子</t>
  </si>
  <si>
    <t>妙蛙種子</t>
  </si>
  <si>
    <t>フシギソウ</t>
  </si>
  <si>
    <t>IVYSAUR</t>
  </si>
  <si>
    <t>HERBIZARRE</t>
  </si>
  <si>
    <t>BISAKNOSP</t>
  </si>
  <si>
    <t>이상해풀</t>
  </si>
  <si>
    <t>妙蛙草</t>
  </si>
  <si>
    <t>フシギバナ</t>
  </si>
  <si>
    <t>VENUSAUR</t>
  </si>
  <si>
    <t>FLORIZARRE</t>
  </si>
  <si>
    <t>BISAFLOR</t>
  </si>
  <si>
    <t>이상해꽃</t>
  </si>
  <si>
    <t>妙蛙花</t>
  </si>
  <si>
    <t>ヒトカゲ</t>
  </si>
  <si>
    <t>CHARMANDER</t>
  </si>
  <si>
    <t>SALAMECHE</t>
  </si>
  <si>
    <t>GLUMANDA</t>
  </si>
  <si>
    <t>파이리</t>
  </si>
  <si>
    <t>小火龙</t>
  </si>
  <si>
    <t>小火龍</t>
  </si>
  <si>
    <t>リザード</t>
  </si>
  <si>
    <t>CHARMELEON</t>
  </si>
  <si>
    <t>REPTINCEL</t>
  </si>
  <si>
    <t>GLUTEXO</t>
  </si>
  <si>
    <t>리자드</t>
  </si>
  <si>
    <t>火恐龙</t>
  </si>
  <si>
    <t>火恐龍</t>
  </si>
  <si>
    <t>リザードン</t>
  </si>
  <si>
    <t>CHARIZARD</t>
  </si>
  <si>
    <t>DRACAUFEU</t>
  </si>
  <si>
    <t>GLURAK</t>
  </si>
  <si>
    <t>리자몽</t>
  </si>
  <si>
    <t>喷火龙</t>
  </si>
  <si>
    <t>噴火龍</t>
  </si>
  <si>
    <t>ゼニガメ</t>
  </si>
  <si>
    <t>SQUIRTLE</t>
  </si>
  <si>
    <t>CARAPUCE</t>
  </si>
  <si>
    <t>SCHIGGY</t>
  </si>
  <si>
    <t>꼬부기</t>
  </si>
  <si>
    <t>杰尼龟</t>
  </si>
  <si>
    <t>傑尼龜</t>
  </si>
  <si>
    <t>カメール</t>
  </si>
  <si>
    <t>WARTORTLE</t>
  </si>
  <si>
    <t>CARABAFFE</t>
  </si>
  <si>
    <t>SCHILLOK</t>
  </si>
  <si>
    <t>어니부기</t>
  </si>
  <si>
    <t>卡咪龟</t>
  </si>
  <si>
    <t>卡咪龜</t>
  </si>
  <si>
    <t>カメックス</t>
  </si>
  <si>
    <t>BLASTOISE</t>
  </si>
  <si>
    <t>TORTANK</t>
  </si>
  <si>
    <t>TURTOK</t>
  </si>
  <si>
    <t>거북왕</t>
  </si>
  <si>
    <t>水箭龟</t>
  </si>
  <si>
    <t>水箭龜</t>
  </si>
  <si>
    <t>キャタピー</t>
  </si>
  <si>
    <t>CATERPIE</t>
  </si>
  <si>
    <t>CHENIPAN</t>
  </si>
  <si>
    <t>RAUPY</t>
  </si>
  <si>
    <t>캐터피</t>
  </si>
  <si>
    <t>绿毛虫</t>
  </si>
  <si>
    <t>綠毛蟲</t>
  </si>
  <si>
    <t>トランセル</t>
  </si>
  <si>
    <t>METAPOD</t>
  </si>
  <si>
    <t>CHRYSACIER</t>
  </si>
  <si>
    <t>SAFCON</t>
  </si>
  <si>
    <t>단데기</t>
  </si>
  <si>
    <t>铁甲蛹</t>
  </si>
  <si>
    <t>鐵甲蛹</t>
  </si>
  <si>
    <t>バタフリー</t>
  </si>
  <si>
    <t>BUTTERFREE</t>
  </si>
  <si>
    <t>PAPILUSION</t>
  </si>
  <si>
    <t>SMETTBO</t>
  </si>
  <si>
    <t>버터플</t>
  </si>
  <si>
    <t>巴大蝶</t>
  </si>
  <si>
    <t>ビードル</t>
  </si>
  <si>
    <t>WEEDLE</t>
  </si>
  <si>
    <t>ASPICOT</t>
  </si>
  <si>
    <t>HORNLIU</t>
  </si>
  <si>
    <t>뿔충이</t>
  </si>
  <si>
    <t>独角虫</t>
  </si>
  <si>
    <t>獨角蟲</t>
  </si>
  <si>
    <t>コクーン</t>
  </si>
  <si>
    <t>KAKUNA</t>
  </si>
  <si>
    <t>COCONFORT</t>
  </si>
  <si>
    <t>KOKUNA</t>
  </si>
  <si>
    <t>딱충이</t>
  </si>
  <si>
    <t>铁壳蛹</t>
  </si>
  <si>
    <t>鐵殼蛹</t>
  </si>
  <si>
    <t>スピアー</t>
  </si>
  <si>
    <t>BEEDRILL</t>
  </si>
  <si>
    <t>DARDARGNAN</t>
  </si>
  <si>
    <t>BIBOR</t>
  </si>
  <si>
    <t>독침붕</t>
  </si>
  <si>
    <t>大针蜂</t>
  </si>
  <si>
    <t>大針蜂</t>
  </si>
  <si>
    <t>ポッポ</t>
  </si>
  <si>
    <t>PIDGEY</t>
  </si>
  <si>
    <t>ROUCOOL</t>
  </si>
  <si>
    <t>TAUBSI</t>
  </si>
  <si>
    <t>구구</t>
  </si>
  <si>
    <t>波波</t>
  </si>
  <si>
    <t>ピジョン</t>
  </si>
  <si>
    <t>PIDGEOTTO</t>
  </si>
  <si>
    <t>ROUCOUPS</t>
  </si>
  <si>
    <t>TAUBOGA</t>
  </si>
  <si>
    <t>피죤</t>
  </si>
  <si>
    <t>比比鸟</t>
  </si>
  <si>
    <t>比比鳥</t>
  </si>
  <si>
    <t>ピジョット</t>
  </si>
  <si>
    <t>PIDGEOT</t>
  </si>
  <si>
    <t>ROUCARNAGE</t>
  </si>
  <si>
    <t>TAUBOSS</t>
  </si>
  <si>
    <t>피죤투</t>
  </si>
  <si>
    <t>大比鸟</t>
  </si>
  <si>
    <t>大比鳥</t>
  </si>
  <si>
    <t>コラッタ</t>
  </si>
  <si>
    <t>RATTATA</t>
  </si>
  <si>
    <t>RATTFRATZ</t>
  </si>
  <si>
    <t>꼬렛</t>
  </si>
  <si>
    <t>小拉达</t>
  </si>
  <si>
    <t>小拉達</t>
  </si>
  <si>
    <t>ラッタ</t>
  </si>
  <si>
    <t>RATICATE</t>
  </si>
  <si>
    <t>RATTATAC</t>
  </si>
  <si>
    <t>RATTIKARL</t>
  </si>
  <si>
    <t>레트라</t>
  </si>
  <si>
    <t>拉达</t>
  </si>
  <si>
    <t>拉達</t>
  </si>
  <si>
    <t>オニスズメ</t>
  </si>
  <si>
    <t>SPEAROW</t>
  </si>
  <si>
    <t>PIAFABEC</t>
  </si>
  <si>
    <t>HABITAK</t>
  </si>
  <si>
    <t>깨비참</t>
  </si>
  <si>
    <t>烈雀</t>
  </si>
  <si>
    <t>オニドリル</t>
  </si>
  <si>
    <t>FEAROW</t>
  </si>
  <si>
    <t>RAPASDEPIC</t>
  </si>
  <si>
    <t>IBITAK</t>
  </si>
  <si>
    <t>깨비드릴조</t>
  </si>
  <si>
    <t>大嘴雀</t>
  </si>
  <si>
    <t>アーボ</t>
  </si>
  <si>
    <t>EKANS</t>
  </si>
  <si>
    <t>ABO</t>
  </si>
  <si>
    <t>RETTAN</t>
  </si>
  <si>
    <t>아보</t>
  </si>
  <si>
    <t>阿柏蛇</t>
  </si>
  <si>
    <t>アーボック</t>
  </si>
  <si>
    <t>ARBOK</t>
  </si>
  <si>
    <t>아보크</t>
  </si>
  <si>
    <t>阿柏怪</t>
  </si>
  <si>
    <t>PIKACHU</t>
  </si>
  <si>
    <t>ライチュウ</t>
  </si>
  <si>
    <t>RAICHU</t>
  </si>
  <si>
    <t>라이츄</t>
  </si>
  <si>
    <t>雷丘</t>
  </si>
  <si>
    <t>サンド</t>
  </si>
  <si>
    <t>SANDSHREW</t>
  </si>
  <si>
    <t>SABELETTE</t>
  </si>
  <si>
    <t>SANDAN</t>
  </si>
  <si>
    <t>모래두지</t>
  </si>
  <si>
    <t>穿山鼠</t>
  </si>
  <si>
    <t>サンドパン</t>
  </si>
  <si>
    <t>SANDSLASH</t>
  </si>
  <si>
    <t>SABLAIREAU</t>
  </si>
  <si>
    <t>SANDAMER</t>
  </si>
  <si>
    <t>고지</t>
  </si>
  <si>
    <t>穿山王</t>
  </si>
  <si>
    <t>ニドラン♀</t>
  </si>
  <si>
    <t>NIDORAN♀</t>
  </si>
  <si>
    <t>니드런♀</t>
  </si>
  <si>
    <t>尼多兰</t>
  </si>
  <si>
    <t>尼多蘭</t>
  </si>
  <si>
    <t>ニドリーナ</t>
  </si>
  <si>
    <t>NIDORINA</t>
  </si>
  <si>
    <t>니드리나</t>
  </si>
  <si>
    <t>尼多娜</t>
  </si>
  <si>
    <t>ニドクイン</t>
  </si>
  <si>
    <t>NIDOQUEEN</t>
  </si>
  <si>
    <t>니드퀸</t>
  </si>
  <si>
    <t>尼多后</t>
  </si>
  <si>
    <t>ニドラン♂</t>
  </si>
  <si>
    <t>NIDORAN♂</t>
  </si>
  <si>
    <t>니드런♂</t>
  </si>
  <si>
    <t>尼多朗</t>
  </si>
  <si>
    <t>ニドリーノ</t>
  </si>
  <si>
    <t>NIDORINO</t>
  </si>
  <si>
    <t>니드리노</t>
  </si>
  <si>
    <t>尼多力诺</t>
  </si>
  <si>
    <t>尼多力諾</t>
  </si>
  <si>
    <t>ニドキング</t>
  </si>
  <si>
    <t>NIDOKING</t>
  </si>
  <si>
    <t>니드킹</t>
  </si>
  <si>
    <t>尼多王</t>
  </si>
  <si>
    <t>ピッピ</t>
  </si>
  <si>
    <t>CLEFAIRY</t>
  </si>
  <si>
    <t>MELOFEE</t>
  </si>
  <si>
    <t>PIEPI</t>
  </si>
  <si>
    <t>삐삐</t>
  </si>
  <si>
    <t>皮皮</t>
  </si>
  <si>
    <t>ピクシー</t>
  </si>
  <si>
    <t>CLEFABLE</t>
  </si>
  <si>
    <t>MELODELFE</t>
  </si>
  <si>
    <t>PIXI</t>
  </si>
  <si>
    <t>픽시</t>
  </si>
  <si>
    <t>皮可西</t>
  </si>
  <si>
    <t>ロコン</t>
  </si>
  <si>
    <t>VULPIX</t>
  </si>
  <si>
    <t>GOUPIX</t>
  </si>
  <si>
    <t>식스테일</t>
  </si>
  <si>
    <t>六尾</t>
  </si>
  <si>
    <t>キュウコン</t>
  </si>
  <si>
    <t>NINETALES</t>
  </si>
  <si>
    <t>FEUNARD</t>
  </si>
  <si>
    <t>VULNONA</t>
  </si>
  <si>
    <t>나인테일</t>
  </si>
  <si>
    <t>九尾</t>
  </si>
  <si>
    <t>プリン</t>
  </si>
  <si>
    <t>JIGGLYPUFF</t>
  </si>
  <si>
    <t>RONDOUDOU</t>
  </si>
  <si>
    <t>PUMMELUFF</t>
  </si>
  <si>
    <t>푸린</t>
  </si>
  <si>
    <t>胖丁</t>
  </si>
  <si>
    <t>プクリン</t>
  </si>
  <si>
    <t>WIGGLYTUFF</t>
  </si>
  <si>
    <t>GRODOUDOU</t>
  </si>
  <si>
    <t>KNUDDELUFF</t>
  </si>
  <si>
    <t>푸크린</t>
  </si>
  <si>
    <t>胖可丁</t>
  </si>
  <si>
    <t>ズバット</t>
  </si>
  <si>
    <t>ZUBAT</t>
  </si>
  <si>
    <t>NOSFERAPTI</t>
  </si>
  <si>
    <t>주뱃</t>
  </si>
  <si>
    <t>超音蝠</t>
  </si>
  <si>
    <t>ゴルバット</t>
  </si>
  <si>
    <t>GOLBAT</t>
  </si>
  <si>
    <t>NOSFERALTO</t>
  </si>
  <si>
    <t>골뱃</t>
  </si>
  <si>
    <t>大嘴蝠</t>
  </si>
  <si>
    <t>ナゾノクサ</t>
  </si>
  <si>
    <t>ODDISH</t>
  </si>
  <si>
    <t>MYSTHERBE</t>
  </si>
  <si>
    <t>MYRAPLA</t>
  </si>
  <si>
    <t>뚜벅쵸</t>
  </si>
  <si>
    <t>走路草</t>
  </si>
  <si>
    <t>クサイハナ</t>
  </si>
  <si>
    <t>GLOOM</t>
  </si>
  <si>
    <t>ORTIDE</t>
  </si>
  <si>
    <t>DUFLOR</t>
  </si>
  <si>
    <t>냄새꼬</t>
  </si>
  <si>
    <t>臭臭花</t>
  </si>
  <si>
    <t>ラフレシア</t>
  </si>
  <si>
    <t>VILEPLUME</t>
  </si>
  <si>
    <t>RAFFLESIA</t>
  </si>
  <si>
    <t>GIFLOR</t>
  </si>
  <si>
    <t>라플레시아</t>
  </si>
  <si>
    <t>霸王花</t>
  </si>
  <si>
    <t>パラス</t>
  </si>
  <si>
    <t>PARAS</t>
  </si>
  <si>
    <t>파라스</t>
  </si>
  <si>
    <t>派拉斯</t>
  </si>
  <si>
    <t>パラセクト</t>
  </si>
  <si>
    <t>PARASECT</t>
  </si>
  <si>
    <t>PARASEK</t>
  </si>
  <si>
    <t>파라섹트</t>
  </si>
  <si>
    <t>派拉斯特</t>
  </si>
  <si>
    <t>コンパン</t>
  </si>
  <si>
    <t>VENONAT</t>
  </si>
  <si>
    <t>MIMITOSS</t>
  </si>
  <si>
    <t>BLUZUK</t>
  </si>
  <si>
    <t>콘팡</t>
  </si>
  <si>
    <t>毛球</t>
  </si>
  <si>
    <t>モルフォン</t>
  </si>
  <si>
    <t>VENOMOTH</t>
  </si>
  <si>
    <t>AEROMITE</t>
  </si>
  <si>
    <t>OMOT</t>
  </si>
  <si>
    <t>도나리</t>
  </si>
  <si>
    <t>摩鲁蛾</t>
  </si>
  <si>
    <t>摩魯蛾</t>
  </si>
  <si>
    <t>ディグダ</t>
  </si>
  <si>
    <t>DIGLETT</t>
  </si>
  <si>
    <t>TAUPIQUEUR</t>
  </si>
  <si>
    <t>DIGDA</t>
  </si>
  <si>
    <t>디그다</t>
  </si>
  <si>
    <t>地鼠</t>
  </si>
  <si>
    <t>ダグトリオ</t>
  </si>
  <si>
    <t>DUGTRIO</t>
  </si>
  <si>
    <t>TRIOPIKEUR</t>
  </si>
  <si>
    <t>DIGDRI</t>
  </si>
  <si>
    <t>닥트리오</t>
  </si>
  <si>
    <t>三地鼠</t>
  </si>
  <si>
    <t>ニャース</t>
  </si>
  <si>
    <t>MEOWTH</t>
  </si>
  <si>
    <t>MIAOUSS</t>
  </si>
  <si>
    <t>MAUZI</t>
  </si>
  <si>
    <t>나옹</t>
  </si>
  <si>
    <t>喵喵</t>
  </si>
  <si>
    <t>ペルシアン</t>
  </si>
  <si>
    <t>PERSIAN</t>
  </si>
  <si>
    <t>SNOBILIKAT</t>
  </si>
  <si>
    <t>페르시온</t>
  </si>
  <si>
    <t>猫老大</t>
  </si>
  <si>
    <t>貓老大</t>
  </si>
  <si>
    <t>コダック</t>
  </si>
  <si>
    <t>PSYDUCK</t>
  </si>
  <si>
    <t>PSYKOKWAK</t>
  </si>
  <si>
    <t>ENTON</t>
  </si>
  <si>
    <t>고라파덕</t>
  </si>
  <si>
    <t>可达鸭</t>
  </si>
  <si>
    <t>可達鴨</t>
  </si>
  <si>
    <t>ゴルダック</t>
  </si>
  <si>
    <t>GOLDUCK</t>
  </si>
  <si>
    <t>AKWAKWAK</t>
  </si>
  <si>
    <t>ENTORON</t>
  </si>
  <si>
    <t>골덕</t>
  </si>
  <si>
    <t>哥达鸭</t>
  </si>
  <si>
    <t>哥達鴨</t>
  </si>
  <si>
    <t>マンキー</t>
  </si>
  <si>
    <t>MANKEY</t>
  </si>
  <si>
    <t>FEROSINGE</t>
  </si>
  <si>
    <t>MENKI</t>
  </si>
  <si>
    <t>망키</t>
  </si>
  <si>
    <t>猴怪</t>
  </si>
  <si>
    <t>オコリザル</t>
  </si>
  <si>
    <t>PRIMEAPE</t>
  </si>
  <si>
    <t>COLOSSINGE</t>
  </si>
  <si>
    <t>RASAFF</t>
  </si>
  <si>
    <t>성원숭</t>
  </si>
  <si>
    <t>火暴猴</t>
  </si>
  <si>
    <t>火爆猴</t>
  </si>
  <si>
    <t>ガーディ</t>
  </si>
  <si>
    <t>GROWLITHE</t>
  </si>
  <si>
    <t>CANINOS</t>
  </si>
  <si>
    <t>FUKANO</t>
  </si>
  <si>
    <t>가디</t>
  </si>
  <si>
    <t>卡蒂狗</t>
  </si>
  <si>
    <t>ウインディ</t>
  </si>
  <si>
    <t>ARCANINE</t>
  </si>
  <si>
    <t>ARCANIN</t>
  </si>
  <si>
    <t>ARKANI</t>
  </si>
  <si>
    <t>윈디</t>
  </si>
  <si>
    <t>风速狗</t>
  </si>
  <si>
    <t>風速狗</t>
  </si>
  <si>
    <t>ニョロモ</t>
  </si>
  <si>
    <t>POLIWAG</t>
  </si>
  <si>
    <t>PTITARD</t>
  </si>
  <si>
    <t>QUAPSEL</t>
  </si>
  <si>
    <t>발챙이</t>
  </si>
  <si>
    <t>蚊香蝌蚪</t>
  </si>
  <si>
    <t>ニョロゾ</t>
  </si>
  <si>
    <t>POLIWHIRL</t>
  </si>
  <si>
    <t>TETARTE</t>
  </si>
  <si>
    <t>QUAPUTZI</t>
  </si>
  <si>
    <t>슈륙챙이</t>
  </si>
  <si>
    <t>蚊香君</t>
  </si>
  <si>
    <t>ニョロボン</t>
  </si>
  <si>
    <t>POLIWRATH</t>
  </si>
  <si>
    <t>TARTARD</t>
  </si>
  <si>
    <t>QUAPPO</t>
  </si>
  <si>
    <t>강챙이</t>
  </si>
  <si>
    <t>蚊香泳士</t>
  </si>
  <si>
    <t>ケーシィ</t>
  </si>
  <si>
    <t>ABRA</t>
  </si>
  <si>
    <t>캐이시</t>
  </si>
  <si>
    <t>凯西</t>
  </si>
  <si>
    <t>凱西</t>
  </si>
  <si>
    <t>ユンゲラー</t>
  </si>
  <si>
    <t>KADABRA</t>
  </si>
  <si>
    <t>윤겔라</t>
  </si>
  <si>
    <t>勇基拉</t>
  </si>
  <si>
    <t>フーディン</t>
  </si>
  <si>
    <t>ALAKAZAM</t>
  </si>
  <si>
    <t>SIMSALA</t>
  </si>
  <si>
    <t>후딘</t>
  </si>
  <si>
    <t>胡地</t>
  </si>
  <si>
    <t>ワンリキー</t>
  </si>
  <si>
    <t>MACHOP</t>
  </si>
  <si>
    <t>MACHOC</t>
  </si>
  <si>
    <t>MACHOLLO</t>
  </si>
  <si>
    <t>알통몬</t>
  </si>
  <si>
    <t>腕力</t>
  </si>
  <si>
    <t>ゴーリキー</t>
  </si>
  <si>
    <t>MACHOKE</t>
  </si>
  <si>
    <t>MACHOPEUR</t>
  </si>
  <si>
    <t>MASCHOCK</t>
  </si>
  <si>
    <t>근육몬</t>
  </si>
  <si>
    <t>豪力</t>
  </si>
  <si>
    <t>カイリキー</t>
  </si>
  <si>
    <t>MACHAMP</t>
  </si>
  <si>
    <t>MACKOGNEUR</t>
  </si>
  <si>
    <t>MACHOMEI</t>
  </si>
  <si>
    <t>괴력몬</t>
  </si>
  <si>
    <t>怪力</t>
  </si>
  <si>
    <t>マダツボミ</t>
  </si>
  <si>
    <t>BELLSPROUT</t>
  </si>
  <si>
    <t>CHETIFLOR</t>
  </si>
  <si>
    <t>KNOFENSA</t>
  </si>
  <si>
    <t>모다피</t>
  </si>
  <si>
    <t>喇叭芽</t>
  </si>
  <si>
    <t>ウツドン</t>
  </si>
  <si>
    <t>WEEPINBELL</t>
  </si>
  <si>
    <t>BOUSTIFLOR</t>
  </si>
  <si>
    <t>ULTRIGARIA</t>
  </si>
  <si>
    <t>우츠동</t>
  </si>
  <si>
    <t>口呆花</t>
  </si>
  <si>
    <t>ウツボット</t>
  </si>
  <si>
    <t>VICTREEBEL</t>
  </si>
  <si>
    <t>EMPIFLOR</t>
  </si>
  <si>
    <t>SARZENIA</t>
  </si>
  <si>
    <t>우츠보트</t>
  </si>
  <si>
    <t>大食花</t>
  </si>
  <si>
    <t>メノクラゲ</t>
  </si>
  <si>
    <t>TENTACOOL</t>
  </si>
  <si>
    <t>TENTACHA</t>
  </si>
  <si>
    <t>왕눈해</t>
  </si>
  <si>
    <t>玛瑙水母</t>
  </si>
  <si>
    <t>瑪瑙水母</t>
  </si>
  <si>
    <t>ドククラゲ</t>
  </si>
  <si>
    <t>TENTACRUEL</t>
  </si>
  <si>
    <t>TENTOXA</t>
  </si>
  <si>
    <t>독파리</t>
  </si>
  <si>
    <t>毒刺水母</t>
  </si>
  <si>
    <t>イシツブテ</t>
  </si>
  <si>
    <t>GEODUDE</t>
  </si>
  <si>
    <t>RACAILLOU</t>
  </si>
  <si>
    <t>KLEINSTEIN</t>
  </si>
  <si>
    <t>꼬마돌</t>
  </si>
  <si>
    <t>小拳石</t>
  </si>
  <si>
    <t>ゴローン</t>
  </si>
  <si>
    <t>GRAVELER</t>
  </si>
  <si>
    <t>GRAVALANCH</t>
  </si>
  <si>
    <t>GEOROK</t>
  </si>
  <si>
    <t>데구리</t>
  </si>
  <si>
    <t>隆隆石</t>
  </si>
  <si>
    <t>ゴローニャ</t>
  </si>
  <si>
    <t>GOLEM</t>
  </si>
  <si>
    <t>GROLEM</t>
  </si>
  <si>
    <t>GEOWAZ</t>
  </si>
  <si>
    <t>딱구리</t>
  </si>
  <si>
    <t>隆隆岩</t>
  </si>
  <si>
    <t>ポニータ</t>
  </si>
  <si>
    <t>PONYTA</t>
  </si>
  <si>
    <t>PONITA</t>
  </si>
  <si>
    <t>포니타</t>
  </si>
  <si>
    <t>小火马</t>
  </si>
  <si>
    <t>小火馬</t>
  </si>
  <si>
    <t>ギャロップ</t>
  </si>
  <si>
    <t>RAPIDASH</t>
  </si>
  <si>
    <t>GALOPA</t>
  </si>
  <si>
    <t>GALLOPA</t>
  </si>
  <si>
    <t>날쌩마</t>
  </si>
  <si>
    <t>烈焰马</t>
  </si>
  <si>
    <t>烈焰馬</t>
  </si>
  <si>
    <t>ヤドン</t>
  </si>
  <si>
    <t>SLOWPOKE</t>
  </si>
  <si>
    <t>RAMOLOSS</t>
  </si>
  <si>
    <t>FLEGMON</t>
  </si>
  <si>
    <t>야돈</t>
  </si>
  <si>
    <t>呆呆兽</t>
  </si>
  <si>
    <t>呆呆獸</t>
  </si>
  <si>
    <t>ヤドラン</t>
  </si>
  <si>
    <t>SLOWBRO</t>
  </si>
  <si>
    <t>FLAGADOSS</t>
  </si>
  <si>
    <t>LAHMUS</t>
  </si>
  <si>
    <t>야도란</t>
  </si>
  <si>
    <t>呆壳兽</t>
  </si>
  <si>
    <t>呆殼獸</t>
  </si>
  <si>
    <t>コイル</t>
  </si>
  <si>
    <t>MAGNEMITE</t>
  </si>
  <si>
    <t>MAGNETI</t>
  </si>
  <si>
    <t>MAGNETILO</t>
  </si>
  <si>
    <t>코일</t>
  </si>
  <si>
    <t>小磁怪</t>
  </si>
  <si>
    <t>レアコイル</t>
  </si>
  <si>
    <t>MAGNETON</t>
  </si>
  <si>
    <t>레어코일</t>
  </si>
  <si>
    <t>三合一磁怪</t>
  </si>
  <si>
    <t>カモネギ</t>
  </si>
  <si>
    <t>FARFETCH’D</t>
  </si>
  <si>
    <t>CANARTICHO</t>
  </si>
  <si>
    <t>PORENTA</t>
  </si>
  <si>
    <t>FARFETCH'D</t>
  </si>
  <si>
    <t>파오리</t>
  </si>
  <si>
    <t>大葱鸭</t>
  </si>
  <si>
    <t>大蔥鴨</t>
  </si>
  <si>
    <t>ドードー</t>
  </si>
  <si>
    <t>DODUO</t>
  </si>
  <si>
    <t>DODU</t>
  </si>
  <si>
    <t>두두</t>
  </si>
  <si>
    <t>嘟嘟</t>
  </si>
  <si>
    <t>ドードリオ</t>
  </si>
  <si>
    <t>DODRIO</t>
  </si>
  <si>
    <t>DODRI</t>
  </si>
  <si>
    <t>두트리오</t>
  </si>
  <si>
    <t>嘟嘟利</t>
  </si>
  <si>
    <t>パウワウ</t>
  </si>
  <si>
    <t>SEEL</t>
  </si>
  <si>
    <t>OTARIA</t>
  </si>
  <si>
    <t>JUROB</t>
  </si>
  <si>
    <t>쥬쥬</t>
  </si>
  <si>
    <t>小海狮</t>
  </si>
  <si>
    <t>小海獅</t>
  </si>
  <si>
    <t>ジュゴン</t>
  </si>
  <si>
    <t>DEWGONG</t>
  </si>
  <si>
    <t>LAMANTINE</t>
  </si>
  <si>
    <t>JUGONG</t>
  </si>
  <si>
    <t>쥬레곤</t>
  </si>
  <si>
    <t>白海狮</t>
  </si>
  <si>
    <t>白海獅</t>
  </si>
  <si>
    <t>ベトベター</t>
  </si>
  <si>
    <t>GRIMER</t>
  </si>
  <si>
    <t>TADMORV</t>
  </si>
  <si>
    <t>SLEIMA</t>
  </si>
  <si>
    <t>질퍽이</t>
  </si>
  <si>
    <t>臭泥</t>
  </si>
  <si>
    <t>ベトベトン</t>
  </si>
  <si>
    <t>MUK</t>
  </si>
  <si>
    <t>GROTADMORV</t>
  </si>
  <si>
    <t>SLEIMOK</t>
  </si>
  <si>
    <t>질뻐기</t>
  </si>
  <si>
    <t>臭臭泥</t>
  </si>
  <si>
    <t>シェルダー</t>
  </si>
  <si>
    <t>SHELLDER</t>
  </si>
  <si>
    <t>KOKIYAS</t>
  </si>
  <si>
    <t>MUSCHAS</t>
  </si>
  <si>
    <t>셀러</t>
  </si>
  <si>
    <t>大舌贝</t>
  </si>
  <si>
    <t>大舌貝</t>
  </si>
  <si>
    <t>パルシェン</t>
  </si>
  <si>
    <t>CLOYSTER</t>
  </si>
  <si>
    <t>CRUSTABRI</t>
  </si>
  <si>
    <t>AUSTOS</t>
  </si>
  <si>
    <t>파르셀</t>
  </si>
  <si>
    <t>刺甲贝</t>
  </si>
  <si>
    <t>刺甲貝</t>
  </si>
  <si>
    <t>ゴース</t>
  </si>
  <si>
    <t>GASTLY</t>
  </si>
  <si>
    <t>FANTOMINUS</t>
  </si>
  <si>
    <t>NEBULAK</t>
  </si>
  <si>
    <t>고오스</t>
  </si>
  <si>
    <t>鬼斯</t>
  </si>
  <si>
    <t>ゴースト</t>
  </si>
  <si>
    <t>HAUNTER</t>
  </si>
  <si>
    <t>SPECTRUM</t>
  </si>
  <si>
    <t>ALPOLLO</t>
  </si>
  <si>
    <t>고우스트</t>
  </si>
  <si>
    <t>鬼斯通</t>
  </si>
  <si>
    <t>ゲンガー</t>
  </si>
  <si>
    <t>GENGAR</t>
  </si>
  <si>
    <t>ECTOPLASMA</t>
  </si>
  <si>
    <t>팬텀</t>
  </si>
  <si>
    <t>耿鬼</t>
  </si>
  <si>
    <t>イワーク</t>
  </si>
  <si>
    <t>ONIX</t>
  </si>
  <si>
    <t>롱스톤</t>
  </si>
  <si>
    <t>大岩蛇</t>
  </si>
  <si>
    <t>スリープ</t>
  </si>
  <si>
    <t>DROWZEE</t>
  </si>
  <si>
    <t>SOPORIFIK</t>
  </si>
  <si>
    <t>TRAUMATO</t>
  </si>
  <si>
    <t>슬리프</t>
  </si>
  <si>
    <t>催眠貘</t>
  </si>
  <si>
    <t>スリーパー</t>
  </si>
  <si>
    <t>HYPNO</t>
  </si>
  <si>
    <t>HYPNOMADE</t>
  </si>
  <si>
    <t>슬리퍼</t>
  </si>
  <si>
    <t>引梦貘人</t>
  </si>
  <si>
    <t>引夢貘人</t>
  </si>
  <si>
    <t>クラブ</t>
  </si>
  <si>
    <t>KRABBY</t>
  </si>
  <si>
    <t>크랩</t>
  </si>
  <si>
    <t>大钳蟹</t>
  </si>
  <si>
    <t>大鉗蟹</t>
  </si>
  <si>
    <t>キングラー</t>
  </si>
  <si>
    <t>KINGLER</t>
  </si>
  <si>
    <t>KRABBOSS</t>
  </si>
  <si>
    <t>킹크랩</t>
  </si>
  <si>
    <t>巨钳蟹</t>
  </si>
  <si>
    <t>巨鉗蟹</t>
  </si>
  <si>
    <t>ビリリダマ</t>
  </si>
  <si>
    <t>VOLTORB</t>
  </si>
  <si>
    <t>VOLTORBE</t>
  </si>
  <si>
    <t>VOLTOBAL</t>
  </si>
  <si>
    <t>찌리리공</t>
  </si>
  <si>
    <t>霹雳电球</t>
  </si>
  <si>
    <t>霹靂電球</t>
  </si>
  <si>
    <t>マルマイン</t>
  </si>
  <si>
    <t>ELECTRODE</t>
  </si>
  <si>
    <t>LEKTROBAL</t>
  </si>
  <si>
    <t>붐볼</t>
  </si>
  <si>
    <t>顽皮雷弹</t>
  </si>
  <si>
    <t>頑皮雷彈</t>
  </si>
  <si>
    <t>タマタマ</t>
  </si>
  <si>
    <t>EXEGGCUTE</t>
  </si>
  <si>
    <t>NOEUNOEUF</t>
  </si>
  <si>
    <t>OWEI</t>
  </si>
  <si>
    <t>아라리</t>
  </si>
  <si>
    <t>蛋蛋</t>
  </si>
  <si>
    <t>ナッシー</t>
  </si>
  <si>
    <t>EXEGGUTOR</t>
  </si>
  <si>
    <t>NOADKOKO</t>
  </si>
  <si>
    <t>KOKOWEI</t>
  </si>
  <si>
    <t>나시</t>
  </si>
  <si>
    <t>椰蛋树</t>
  </si>
  <si>
    <t>椰蛋樹</t>
  </si>
  <si>
    <t>カラカラ</t>
  </si>
  <si>
    <t>CUBONE</t>
  </si>
  <si>
    <t>OSSELAIT</t>
  </si>
  <si>
    <t>TRAGOSSO</t>
  </si>
  <si>
    <t>탕구리</t>
  </si>
  <si>
    <t>卡拉卡拉</t>
  </si>
  <si>
    <t>ガラガラ</t>
  </si>
  <si>
    <t>MAROWAK</t>
  </si>
  <si>
    <t>OSSATUEUR</t>
  </si>
  <si>
    <t>KNOGGA</t>
  </si>
  <si>
    <t>텅구리</t>
  </si>
  <si>
    <t>嘎啦嘎啦</t>
  </si>
  <si>
    <t>サワムラー</t>
  </si>
  <si>
    <t>HITMONLEE</t>
  </si>
  <si>
    <t>KICKLEE</t>
  </si>
  <si>
    <t>시라소몬</t>
  </si>
  <si>
    <t>飞腿郎</t>
  </si>
  <si>
    <t>飛腿郎</t>
  </si>
  <si>
    <t>エビワラー</t>
  </si>
  <si>
    <t>HITMONCHAN</t>
  </si>
  <si>
    <t>TYGNON</t>
  </si>
  <si>
    <t>NOCKCHAN</t>
  </si>
  <si>
    <t>홍수몬</t>
  </si>
  <si>
    <t>快拳郎</t>
  </si>
  <si>
    <t>ベロリンガ</t>
  </si>
  <si>
    <t>LICKITUNG</t>
  </si>
  <si>
    <t>EXCELANGUE</t>
  </si>
  <si>
    <t>SCHLURP</t>
  </si>
  <si>
    <t>내루미</t>
  </si>
  <si>
    <t>大舌头</t>
  </si>
  <si>
    <t>大舌頭</t>
  </si>
  <si>
    <t>ドガース</t>
  </si>
  <si>
    <t>KOFFING</t>
  </si>
  <si>
    <t>SMOGO</t>
  </si>
  <si>
    <t>SMOGON</t>
  </si>
  <si>
    <t>또가스</t>
  </si>
  <si>
    <t>瓦斯弹</t>
  </si>
  <si>
    <t>瓦斯彈</t>
  </si>
  <si>
    <t>マタドガス</t>
  </si>
  <si>
    <t>WEEZING</t>
  </si>
  <si>
    <t>SMOGOGO</t>
  </si>
  <si>
    <t>SMOGMOG</t>
  </si>
  <si>
    <t>또도가스</t>
  </si>
  <si>
    <t>双弹瓦斯</t>
  </si>
  <si>
    <t>雙彈瓦斯</t>
  </si>
  <si>
    <t>サイホーン</t>
  </si>
  <si>
    <t>RHYHORN</t>
  </si>
  <si>
    <t>RHINOCORNE</t>
  </si>
  <si>
    <t>RIHORN</t>
  </si>
  <si>
    <t>뿔카노</t>
  </si>
  <si>
    <t>独角犀牛</t>
  </si>
  <si>
    <t>獨角犀牛</t>
  </si>
  <si>
    <t>サイドン</t>
  </si>
  <si>
    <t>RHYDON</t>
  </si>
  <si>
    <t>RHINOFEROS</t>
  </si>
  <si>
    <t>RIZEROS</t>
  </si>
  <si>
    <t>코뿌리</t>
  </si>
  <si>
    <t>钻角犀兽</t>
  </si>
  <si>
    <t>鑽角犀獸</t>
  </si>
  <si>
    <t>ラッキー</t>
  </si>
  <si>
    <t>CHANSEY</t>
  </si>
  <si>
    <t>LEVEINARD</t>
  </si>
  <si>
    <t>CHANEIRA</t>
  </si>
  <si>
    <t>럭키</t>
  </si>
  <si>
    <t>吉利蛋</t>
  </si>
  <si>
    <t>モンジャラ</t>
  </si>
  <si>
    <t>TANGELA</t>
  </si>
  <si>
    <t>SAQUEDENEU</t>
  </si>
  <si>
    <t>덩쿠리</t>
  </si>
  <si>
    <t>蔓藤怪</t>
  </si>
  <si>
    <t>ガルーラ</t>
  </si>
  <si>
    <t>KANGASKHAN</t>
  </si>
  <si>
    <t>KANGOUREX</t>
  </si>
  <si>
    <t>KANGAMA</t>
  </si>
  <si>
    <t>캥카</t>
  </si>
  <si>
    <t>袋兽</t>
  </si>
  <si>
    <t>袋獸</t>
  </si>
  <si>
    <t>タッツー</t>
  </si>
  <si>
    <t>HORSEA</t>
  </si>
  <si>
    <t>HYPOTREMPE</t>
  </si>
  <si>
    <t>SEEPER</t>
  </si>
  <si>
    <t>쏘드라</t>
  </si>
  <si>
    <t>墨海马</t>
  </si>
  <si>
    <t>墨海馬</t>
  </si>
  <si>
    <t>シードラ</t>
  </si>
  <si>
    <t>SEADRA</t>
  </si>
  <si>
    <t>HYPOCEAN</t>
  </si>
  <si>
    <t>SEEMON</t>
  </si>
  <si>
    <t>시드라</t>
  </si>
  <si>
    <t>海刺龙</t>
  </si>
  <si>
    <t>海刺龍</t>
  </si>
  <si>
    <t>トサキント</t>
  </si>
  <si>
    <t>GOLDEEN</t>
  </si>
  <si>
    <t>POISSIRENE</t>
  </si>
  <si>
    <t>GOLDINI</t>
  </si>
  <si>
    <t>콘치</t>
  </si>
  <si>
    <t>角金鱼</t>
  </si>
  <si>
    <t>角金魚</t>
  </si>
  <si>
    <t>アズマオウ</t>
  </si>
  <si>
    <t>SEAKING</t>
  </si>
  <si>
    <t>POISSOROY</t>
  </si>
  <si>
    <t>GOLKING</t>
  </si>
  <si>
    <t>왕콘치</t>
  </si>
  <si>
    <t>金鱼王</t>
  </si>
  <si>
    <t>金魚王</t>
  </si>
  <si>
    <t>ヒトデマン</t>
  </si>
  <si>
    <t>STARYU</t>
  </si>
  <si>
    <t>STARI</t>
  </si>
  <si>
    <t>STERNDU</t>
  </si>
  <si>
    <t>별가사리</t>
  </si>
  <si>
    <t>海星星</t>
  </si>
  <si>
    <t>スターミー</t>
  </si>
  <si>
    <t>STARMIE</t>
  </si>
  <si>
    <t>STAROSS</t>
  </si>
  <si>
    <t>아쿠스타</t>
  </si>
  <si>
    <t>宝石海星</t>
  </si>
  <si>
    <t>寶石海星</t>
  </si>
  <si>
    <t>バリヤード</t>
  </si>
  <si>
    <t>MR. MIME</t>
  </si>
  <si>
    <t>M. MIME</t>
  </si>
  <si>
    <t>PANTIMOS</t>
  </si>
  <si>
    <t>마임맨</t>
  </si>
  <si>
    <t>魔墙人偶</t>
  </si>
  <si>
    <t>魔牆人偶</t>
  </si>
  <si>
    <t>ストライク</t>
  </si>
  <si>
    <t>SCYTHER</t>
  </si>
  <si>
    <t>INSECATEUR</t>
  </si>
  <si>
    <t>SICHLOR</t>
  </si>
  <si>
    <t>스라크</t>
  </si>
  <si>
    <t>飞天螳螂</t>
  </si>
  <si>
    <t>飛天螳螂</t>
  </si>
  <si>
    <t>ルージュラ</t>
  </si>
  <si>
    <t>JYNX</t>
  </si>
  <si>
    <t>LIPPOUTOU</t>
  </si>
  <si>
    <t>ROSSANA</t>
  </si>
  <si>
    <t>루주라</t>
  </si>
  <si>
    <t>迷唇姐</t>
  </si>
  <si>
    <t>エレブー</t>
  </si>
  <si>
    <t>ELECTABUZZ</t>
  </si>
  <si>
    <t>ELEKTEK</t>
  </si>
  <si>
    <t>에레브</t>
  </si>
  <si>
    <t>电击兽</t>
  </si>
  <si>
    <t>電擊獸</t>
  </si>
  <si>
    <t>ブーバー</t>
  </si>
  <si>
    <t>MAGMAR</t>
  </si>
  <si>
    <t>마그마</t>
  </si>
  <si>
    <t>鸭嘴火兽</t>
  </si>
  <si>
    <t>鴨嘴火獸</t>
  </si>
  <si>
    <t>カイロス</t>
  </si>
  <si>
    <t>PINSIR</t>
  </si>
  <si>
    <t>SCARABRUTE</t>
  </si>
  <si>
    <t>쁘사이저</t>
  </si>
  <si>
    <t>凯罗斯</t>
  </si>
  <si>
    <t>凱羅斯</t>
  </si>
  <si>
    <t>ケンタロス</t>
  </si>
  <si>
    <t>TAUROS</t>
  </si>
  <si>
    <t>켄타로스</t>
  </si>
  <si>
    <t>肯泰罗</t>
  </si>
  <si>
    <t>肯泰羅</t>
  </si>
  <si>
    <t>コイキング</t>
  </si>
  <si>
    <t>MAGIKARP</t>
  </si>
  <si>
    <t>MAGICARPE</t>
  </si>
  <si>
    <t>KARPADOR</t>
  </si>
  <si>
    <t>잉어킹</t>
  </si>
  <si>
    <t>鲤鱼王</t>
  </si>
  <si>
    <t>鯉魚王</t>
  </si>
  <si>
    <t>ギャラドス</t>
  </si>
  <si>
    <t>GYARADOS</t>
  </si>
  <si>
    <t>LEVIATOR</t>
  </si>
  <si>
    <t>GARADOS</t>
  </si>
  <si>
    <t>갸라도스</t>
  </si>
  <si>
    <t>暴鲤龙</t>
  </si>
  <si>
    <t>暴鯉龍</t>
  </si>
  <si>
    <t>ラプラス</t>
  </si>
  <si>
    <t>LAPRAS</t>
  </si>
  <si>
    <t>LOKHLASS</t>
  </si>
  <si>
    <t>라프라스</t>
  </si>
  <si>
    <t>拉普拉斯</t>
  </si>
  <si>
    <t>メタモン</t>
  </si>
  <si>
    <t>DITTO</t>
  </si>
  <si>
    <t>METAMORPH</t>
  </si>
  <si>
    <t>메타몽</t>
  </si>
  <si>
    <t>百变怪</t>
  </si>
  <si>
    <t>百變怪</t>
  </si>
  <si>
    <t>イーブイ</t>
  </si>
  <si>
    <t>EEVEE</t>
  </si>
  <si>
    <t>EVOLI</t>
  </si>
  <si>
    <t>이브이</t>
  </si>
  <si>
    <t>伊布</t>
  </si>
  <si>
    <t>シャワーズ</t>
  </si>
  <si>
    <t>VAPOREON</t>
  </si>
  <si>
    <t>AQUALI</t>
  </si>
  <si>
    <t>AQUANA</t>
  </si>
  <si>
    <t>샤미드</t>
  </si>
  <si>
    <t>水伊布</t>
  </si>
  <si>
    <t>サンダース</t>
  </si>
  <si>
    <t>JOLTEON</t>
  </si>
  <si>
    <t>VOLTALI</t>
  </si>
  <si>
    <t>BLITZA</t>
  </si>
  <si>
    <t>쥬피썬더</t>
  </si>
  <si>
    <t>雷伊布</t>
  </si>
  <si>
    <t>ブースター</t>
  </si>
  <si>
    <t>FLAREON</t>
  </si>
  <si>
    <t>PYROLI</t>
  </si>
  <si>
    <t>FLAMARA</t>
  </si>
  <si>
    <t>부스터</t>
  </si>
  <si>
    <t>火伊布</t>
  </si>
  <si>
    <t>ポリゴン</t>
  </si>
  <si>
    <t>PORYGON</t>
  </si>
  <si>
    <t>폴리곤</t>
  </si>
  <si>
    <t>多边兽</t>
  </si>
  <si>
    <t>多邊獸</t>
  </si>
  <si>
    <t>オムナイト</t>
  </si>
  <si>
    <t>OMANYTE</t>
  </si>
  <si>
    <t>AMONITA</t>
  </si>
  <si>
    <t>AMONITAS</t>
  </si>
  <si>
    <t>암나이트</t>
  </si>
  <si>
    <t>菊石兽</t>
  </si>
  <si>
    <t>菊石獸</t>
  </si>
  <si>
    <t>オムスター</t>
  </si>
  <si>
    <t>OMASTAR</t>
  </si>
  <si>
    <t>AMONISTAR</t>
  </si>
  <si>
    <t>AMOROSO</t>
  </si>
  <si>
    <t>암스타</t>
  </si>
  <si>
    <t>多刺菊石兽</t>
  </si>
  <si>
    <t>多刺菊石獸</t>
  </si>
  <si>
    <t>カブト</t>
  </si>
  <si>
    <t>KABUTO</t>
  </si>
  <si>
    <t>투구</t>
  </si>
  <si>
    <t>化石盔</t>
  </si>
  <si>
    <t>カブトプス</t>
  </si>
  <si>
    <t>KABUTOPS</t>
  </si>
  <si>
    <t>투구푸스</t>
  </si>
  <si>
    <t>镰刀盔</t>
  </si>
  <si>
    <t>鐮刀盔</t>
  </si>
  <si>
    <t>プテラ</t>
  </si>
  <si>
    <t>AERODACTYL</t>
  </si>
  <si>
    <t>PTERA</t>
  </si>
  <si>
    <t>프테라</t>
  </si>
  <si>
    <t>化石翼龙</t>
  </si>
  <si>
    <t>化石翼龍</t>
  </si>
  <si>
    <t>カビゴン</t>
  </si>
  <si>
    <t>SNORLAX</t>
  </si>
  <si>
    <t>RONFLEX</t>
  </si>
  <si>
    <t>RELAXO</t>
  </si>
  <si>
    <t>잠만보</t>
  </si>
  <si>
    <t>卡比兽</t>
  </si>
  <si>
    <t>卡比獸</t>
  </si>
  <si>
    <t>フリーザー</t>
  </si>
  <si>
    <t>ARTICUNO</t>
  </si>
  <si>
    <t>ARTIKODIN</t>
  </si>
  <si>
    <t>ARKTOS</t>
  </si>
  <si>
    <t>프리져</t>
  </si>
  <si>
    <t>急冻鸟</t>
  </si>
  <si>
    <t>急凍鳥</t>
  </si>
  <si>
    <t>サンダー</t>
  </si>
  <si>
    <t>ZAPDOS</t>
  </si>
  <si>
    <t>ELECTHOR</t>
  </si>
  <si>
    <t>썬더</t>
  </si>
  <si>
    <t>闪电鸟</t>
  </si>
  <si>
    <t>閃電鳥</t>
  </si>
  <si>
    <t>ファイヤー</t>
  </si>
  <si>
    <t>MOLTRES</t>
  </si>
  <si>
    <t>SULFURA</t>
  </si>
  <si>
    <t>LAVADOS</t>
  </si>
  <si>
    <t>파이어</t>
  </si>
  <si>
    <t>火焰鸟</t>
  </si>
  <si>
    <t>火焰鳥</t>
  </si>
  <si>
    <t>ミニリュウ</t>
  </si>
  <si>
    <t>DRATINI</t>
  </si>
  <si>
    <t>MINIDRACO</t>
  </si>
  <si>
    <t>미뇽</t>
  </si>
  <si>
    <t>迷你龙</t>
  </si>
  <si>
    <t>迷你龍</t>
  </si>
  <si>
    <t>ハクリュー</t>
  </si>
  <si>
    <t>DRAGONAIR</t>
  </si>
  <si>
    <t>DRACO</t>
  </si>
  <si>
    <t>DRAGONIR</t>
  </si>
  <si>
    <t>신뇽</t>
  </si>
  <si>
    <t>哈克龙</t>
  </si>
  <si>
    <t>哈克龍</t>
  </si>
  <si>
    <t>カイリュー</t>
  </si>
  <si>
    <t>DRAGONITE</t>
  </si>
  <si>
    <t>DRACOLOSSE</t>
  </si>
  <si>
    <t>DRAGORAN</t>
  </si>
  <si>
    <t>망나뇽</t>
  </si>
  <si>
    <t>快龙</t>
  </si>
  <si>
    <t>快龍</t>
  </si>
  <si>
    <t>ミュウツー</t>
  </si>
  <si>
    <t>MEWTWO</t>
  </si>
  <si>
    <t>MEWTU</t>
  </si>
  <si>
    <t>뮤츠</t>
  </si>
  <si>
    <t>超梦</t>
  </si>
  <si>
    <t>超夢</t>
  </si>
  <si>
    <t>ミュウ</t>
  </si>
  <si>
    <t>MEW</t>
  </si>
  <si>
    <t>뮤</t>
  </si>
  <si>
    <t>梦幻</t>
  </si>
  <si>
    <t>夢幻</t>
  </si>
  <si>
    <t>チコリータ</t>
  </si>
  <si>
    <t>CHIKORITA</t>
  </si>
  <si>
    <t>GERMIGNON</t>
  </si>
  <si>
    <t>ENDIVIE</t>
  </si>
  <si>
    <t>치코리타</t>
  </si>
  <si>
    <t>菊草叶</t>
  </si>
  <si>
    <t>菊草葉</t>
  </si>
  <si>
    <t>ベイリーフ</t>
  </si>
  <si>
    <t>BAYLEEF</t>
  </si>
  <si>
    <t>MACRONIUM</t>
  </si>
  <si>
    <t>LORBLATT</t>
  </si>
  <si>
    <t>베이리프</t>
  </si>
  <si>
    <t>月桂叶</t>
  </si>
  <si>
    <t>月桂葉</t>
  </si>
  <si>
    <t>メガニウム</t>
  </si>
  <si>
    <t>MEGANIUM</t>
  </si>
  <si>
    <t>MEGANIE</t>
  </si>
  <si>
    <t>메가니움</t>
  </si>
  <si>
    <t>大竺葵</t>
  </si>
  <si>
    <t>ヒノアラシ</t>
  </si>
  <si>
    <t>CYNDAQUIL</t>
  </si>
  <si>
    <t>HERICENDRE</t>
  </si>
  <si>
    <t>FEURIGEL</t>
  </si>
  <si>
    <t>브케인</t>
  </si>
  <si>
    <t>火球鼠</t>
  </si>
  <si>
    <t>マグマラシ</t>
  </si>
  <si>
    <t>QUILAVA</t>
  </si>
  <si>
    <t>FEURISSON</t>
  </si>
  <si>
    <t>IGELAVAR</t>
  </si>
  <si>
    <t>마그케인</t>
  </si>
  <si>
    <t>火岩鼠</t>
  </si>
  <si>
    <t>バクフーン</t>
  </si>
  <si>
    <t>TYPHLOSION</t>
  </si>
  <si>
    <t>TORNUPTO</t>
  </si>
  <si>
    <t>블레이범</t>
  </si>
  <si>
    <t>火暴兽</t>
  </si>
  <si>
    <t>火爆獸</t>
  </si>
  <si>
    <t>ワニノコ</t>
  </si>
  <si>
    <t>TOTODILE</t>
  </si>
  <si>
    <t>KAIMINUS</t>
  </si>
  <si>
    <t>KARNIMANI</t>
  </si>
  <si>
    <t>리아코</t>
  </si>
  <si>
    <t>小锯鳄</t>
  </si>
  <si>
    <t>小鋸鱷</t>
  </si>
  <si>
    <t>アリゲイツ</t>
  </si>
  <si>
    <t>CROCONAW</t>
  </si>
  <si>
    <t>CROCRODIL</t>
  </si>
  <si>
    <t>TYRACROC</t>
  </si>
  <si>
    <t>엘리게이</t>
  </si>
  <si>
    <t>蓝鳄</t>
  </si>
  <si>
    <t>藍鱷</t>
  </si>
  <si>
    <t>オーダイル</t>
  </si>
  <si>
    <t>FERALIGATR</t>
  </si>
  <si>
    <t>ALIGATUEUR</t>
  </si>
  <si>
    <t>IMPERGATOR</t>
  </si>
  <si>
    <t>장크로다일</t>
  </si>
  <si>
    <t>大力鳄</t>
  </si>
  <si>
    <t>大力鱷</t>
  </si>
  <si>
    <t>オタチ</t>
  </si>
  <si>
    <t>SENTRET</t>
  </si>
  <si>
    <t>FOUINETTE</t>
  </si>
  <si>
    <t>WIESOR</t>
  </si>
  <si>
    <t>꼬리선</t>
  </si>
  <si>
    <t>尾立</t>
  </si>
  <si>
    <t>オオタチ</t>
  </si>
  <si>
    <t>FURRET</t>
  </si>
  <si>
    <t>FOUINAR</t>
  </si>
  <si>
    <t>WIESENIOR</t>
  </si>
  <si>
    <t>다꼬리</t>
  </si>
  <si>
    <t>大尾立</t>
  </si>
  <si>
    <t>ホーホー</t>
  </si>
  <si>
    <t>HOOTHOOT</t>
  </si>
  <si>
    <t>부우부</t>
  </si>
  <si>
    <t>咕咕</t>
  </si>
  <si>
    <t>ヨルノズク</t>
  </si>
  <si>
    <t>NOCTOWL</t>
  </si>
  <si>
    <t>NOARFANG</t>
  </si>
  <si>
    <t>NOCTUH</t>
  </si>
  <si>
    <t>야부엉</t>
  </si>
  <si>
    <t>猫头夜鹰</t>
  </si>
  <si>
    <t>貓頭夜鷹</t>
  </si>
  <si>
    <t>レディバ</t>
  </si>
  <si>
    <t>LEDYBA</t>
  </si>
  <si>
    <t>COXY</t>
  </si>
  <si>
    <t>레디바</t>
  </si>
  <si>
    <t>芭瓢虫</t>
  </si>
  <si>
    <t>芭瓢蟲</t>
  </si>
  <si>
    <t>レディアン</t>
  </si>
  <si>
    <t>LEDIAN</t>
  </si>
  <si>
    <t>COXYCLAQUE</t>
  </si>
  <si>
    <t>레디안</t>
  </si>
  <si>
    <t>安瓢虫</t>
  </si>
  <si>
    <t>安瓢蟲</t>
  </si>
  <si>
    <t>イトマル</t>
  </si>
  <si>
    <t>SPINARAK</t>
  </si>
  <si>
    <t>MIMIGAL</t>
  </si>
  <si>
    <t>WEBARAK</t>
  </si>
  <si>
    <t>페이검</t>
  </si>
  <si>
    <t>圆丝蛛</t>
  </si>
  <si>
    <t>圓絲蛛</t>
  </si>
  <si>
    <t>アリアドス</t>
  </si>
  <si>
    <t>ARIADOS</t>
  </si>
  <si>
    <t>MIGALOS</t>
  </si>
  <si>
    <t>아리아도스</t>
  </si>
  <si>
    <t>阿利多斯</t>
  </si>
  <si>
    <t>クロバット</t>
  </si>
  <si>
    <t>CROBAT</t>
  </si>
  <si>
    <t>NOSTENFER</t>
  </si>
  <si>
    <t>IKSBAT</t>
  </si>
  <si>
    <t>크로뱃</t>
  </si>
  <si>
    <t>叉字蝠</t>
  </si>
  <si>
    <t>チョンチー</t>
  </si>
  <si>
    <t>CHINCHOU</t>
  </si>
  <si>
    <t>LOUPIO</t>
  </si>
  <si>
    <t>LAMPI</t>
  </si>
  <si>
    <t>초라기</t>
  </si>
  <si>
    <t>灯笼鱼</t>
  </si>
  <si>
    <t>燈籠魚</t>
  </si>
  <si>
    <t>ランターン</t>
  </si>
  <si>
    <t>LANTURN</t>
  </si>
  <si>
    <t>랜턴</t>
  </si>
  <si>
    <t>电灯怪</t>
  </si>
  <si>
    <t>電燈怪</t>
  </si>
  <si>
    <t>ピチュー</t>
  </si>
  <si>
    <t>PICHU</t>
  </si>
  <si>
    <t>피츄</t>
  </si>
  <si>
    <t>皮丘</t>
  </si>
  <si>
    <t>ピィ</t>
  </si>
  <si>
    <t>CLEFFA</t>
  </si>
  <si>
    <t>MELO</t>
  </si>
  <si>
    <t>PII</t>
  </si>
  <si>
    <t>삐</t>
  </si>
  <si>
    <t>皮宝宝</t>
  </si>
  <si>
    <t>皮寶寶</t>
  </si>
  <si>
    <t>ププリン</t>
  </si>
  <si>
    <t>IGGLYBUFF</t>
  </si>
  <si>
    <t>TOUDOUDOU</t>
  </si>
  <si>
    <t>FLUFFELUFF</t>
  </si>
  <si>
    <t>푸푸린</t>
  </si>
  <si>
    <t>宝宝丁</t>
  </si>
  <si>
    <t>寶寶丁</t>
  </si>
  <si>
    <t>トゲピー</t>
  </si>
  <si>
    <t>TOGEPI</t>
  </si>
  <si>
    <t>토게피</t>
  </si>
  <si>
    <t>波克比</t>
  </si>
  <si>
    <t>トゲチック</t>
  </si>
  <si>
    <t>TOGETIC</t>
  </si>
  <si>
    <t>토게틱</t>
  </si>
  <si>
    <t>波克基古</t>
  </si>
  <si>
    <t>ネイティ</t>
  </si>
  <si>
    <t>NATU</t>
  </si>
  <si>
    <t>네이티</t>
  </si>
  <si>
    <t>天然雀</t>
  </si>
  <si>
    <t>ネイティオ</t>
  </si>
  <si>
    <t>XATU</t>
  </si>
  <si>
    <t>네이티오</t>
  </si>
  <si>
    <t>天然鸟</t>
  </si>
  <si>
    <t>天然鳥</t>
  </si>
  <si>
    <t>メリープ</t>
  </si>
  <si>
    <t>MAREEP</t>
  </si>
  <si>
    <t>WATTOUAT</t>
  </si>
  <si>
    <t>VOLTILAMM</t>
  </si>
  <si>
    <t>메리프</t>
  </si>
  <si>
    <t>咩利羊</t>
  </si>
  <si>
    <t>モココ</t>
  </si>
  <si>
    <t>FLAAFFY</t>
  </si>
  <si>
    <t>LAINERGIE</t>
  </si>
  <si>
    <t>WAATY</t>
  </si>
  <si>
    <t>보송송</t>
  </si>
  <si>
    <t>茸茸羊</t>
  </si>
  <si>
    <t>デンリュウ</t>
  </si>
  <si>
    <t>AMPHAROS</t>
  </si>
  <si>
    <t>PHARAMP</t>
  </si>
  <si>
    <t>전룡</t>
  </si>
  <si>
    <t>电龙</t>
  </si>
  <si>
    <t>電龍</t>
  </si>
  <si>
    <t>キレイハナ</t>
  </si>
  <si>
    <t>BELLOSSOM</t>
  </si>
  <si>
    <t>JOLIFLOR</t>
  </si>
  <si>
    <t>BLUBELLA</t>
  </si>
  <si>
    <t>아르코</t>
  </si>
  <si>
    <t>美丽花</t>
  </si>
  <si>
    <t>美麗花</t>
  </si>
  <si>
    <t>マリル</t>
  </si>
  <si>
    <t>MARILL</t>
  </si>
  <si>
    <t>마릴</t>
  </si>
  <si>
    <t>玛力露</t>
  </si>
  <si>
    <t>瑪力露</t>
  </si>
  <si>
    <t>マリルリ</t>
  </si>
  <si>
    <t>AZUMARILL</t>
  </si>
  <si>
    <t>마릴리</t>
  </si>
  <si>
    <t>玛力露丽</t>
  </si>
  <si>
    <t>瑪力露麗</t>
  </si>
  <si>
    <t>ウソッキー</t>
  </si>
  <si>
    <t>SUDOWOODO</t>
  </si>
  <si>
    <t>SIMULARBRE</t>
  </si>
  <si>
    <t>MOGELBAUM</t>
  </si>
  <si>
    <t>꼬지모</t>
  </si>
  <si>
    <t>树才怪</t>
  </si>
  <si>
    <t>樹才怪</t>
  </si>
  <si>
    <t>ニョロトノ</t>
  </si>
  <si>
    <t>POLITOED</t>
  </si>
  <si>
    <t>TARPAUD</t>
  </si>
  <si>
    <t>QUAXO</t>
  </si>
  <si>
    <t>왕구리</t>
  </si>
  <si>
    <t>蚊香蛙皇</t>
  </si>
  <si>
    <t>ハネッコ</t>
  </si>
  <si>
    <t>HOPPIP</t>
  </si>
  <si>
    <t>GRANIVOL</t>
  </si>
  <si>
    <t>HOPPSPROSS</t>
  </si>
  <si>
    <t>통통코</t>
  </si>
  <si>
    <t>毽子草</t>
  </si>
  <si>
    <t>ポポッコ</t>
  </si>
  <si>
    <t>SKIPLOOM</t>
  </si>
  <si>
    <t>FLORAVOL</t>
  </si>
  <si>
    <t>HUBELUPF</t>
  </si>
  <si>
    <t>두코</t>
  </si>
  <si>
    <t>毽子花</t>
  </si>
  <si>
    <t>ワタッコ</t>
  </si>
  <si>
    <t>JUMPLUFF</t>
  </si>
  <si>
    <t>COTOVOL</t>
  </si>
  <si>
    <t>PAPUNGHA</t>
  </si>
  <si>
    <t>솜솜코</t>
  </si>
  <si>
    <t>毽子棉</t>
  </si>
  <si>
    <t>エイパム</t>
  </si>
  <si>
    <t>AIPOM</t>
  </si>
  <si>
    <t>CAPUMAIN</t>
  </si>
  <si>
    <t>GRIFFEL</t>
  </si>
  <si>
    <t>에이팜</t>
  </si>
  <si>
    <t>长尾怪手</t>
  </si>
  <si>
    <t>長尾怪手</t>
  </si>
  <si>
    <t>ヒマナッツ</t>
  </si>
  <si>
    <t>SUNKERN</t>
  </si>
  <si>
    <t>TOURNEGRIN</t>
  </si>
  <si>
    <t>SONNKERN</t>
  </si>
  <si>
    <t>해너츠</t>
  </si>
  <si>
    <t>向日种子</t>
  </si>
  <si>
    <t>向日種子</t>
  </si>
  <si>
    <t>キマワリ</t>
  </si>
  <si>
    <t>SUNFLORA</t>
  </si>
  <si>
    <t>HELIATRONC</t>
  </si>
  <si>
    <t>SONNFLORA</t>
  </si>
  <si>
    <t>해루미</t>
  </si>
  <si>
    <t>向日花怪</t>
  </si>
  <si>
    <t>ヤンヤンマ</t>
  </si>
  <si>
    <t>YANMA</t>
  </si>
  <si>
    <t>왕자리</t>
  </si>
  <si>
    <t>蜻蜻蜓</t>
  </si>
  <si>
    <t>ウパー</t>
  </si>
  <si>
    <t>WOOPER</t>
  </si>
  <si>
    <t>AXOLOTO</t>
  </si>
  <si>
    <t>FELINO</t>
  </si>
  <si>
    <t>우파</t>
  </si>
  <si>
    <t>乌波</t>
  </si>
  <si>
    <t>烏波</t>
  </si>
  <si>
    <t>ヌオー</t>
  </si>
  <si>
    <t>QUAGSIRE</t>
  </si>
  <si>
    <t>MARAISTE</t>
  </si>
  <si>
    <t>MORLORD</t>
  </si>
  <si>
    <t>누오</t>
  </si>
  <si>
    <t>沼王</t>
  </si>
  <si>
    <t>エーフィ</t>
  </si>
  <si>
    <t>ESPEON</t>
  </si>
  <si>
    <t>MENTALI</t>
  </si>
  <si>
    <t>PSIANA</t>
  </si>
  <si>
    <t>에브이</t>
  </si>
  <si>
    <t>太阳伊布</t>
  </si>
  <si>
    <t>太陽伊布</t>
  </si>
  <si>
    <t>ブラッキー</t>
  </si>
  <si>
    <t>UMBREON</t>
  </si>
  <si>
    <t>NOCTALI</t>
  </si>
  <si>
    <t>NACHTARA</t>
  </si>
  <si>
    <t>블래키</t>
  </si>
  <si>
    <t>月亮伊布</t>
  </si>
  <si>
    <t>ヤミカラス</t>
  </si>
  <si>
    <t>MURKROW</t>
  </si>
  <si>
    <t>CORNEBRE</t>
  </si>
  <si>
    <t>KRAMURX</t>
  </si>
  <si>
    <t>니로우</t>
  </si>
  <si>
    <t>黑暗鸦</t>
  </si>
  <si>
    <t>黑暗鴉</t>
  </si>
  <si>
    <t>ヤドキング</t>
  </si>
  <si>
    <t>SLOWKING</t>
  </si>
  <si>
    <t>ROIGADA</t>
  </si>
  <si>
    <t>LASCHOKING</t>
  </si>
  <si>
    <t>야도킹</t>
  </si>
  <si>
    <t>呆呆王</t>
  </si>
  <si>
    <t>ムウマ</t>
  </si>
  <si>
    <t>MISDREAVUS</t>
  </si>
  <si>
    <t>FEUFOREVE</t>
  </si>
  <si>
    <t>TRAUNFUGIL</t>
  </si>
  <si>
    <t>무우마</t>
  </si>
  <si>
    <t>梦妖</t>
  </si>
  <si>
    <t>夢妖</t>
  </si>
  <si>
    <t>アンノーン</t>
  </si>
  <si>
    <t>UNOWN</t>
  </si>
  <si>
    <t>ZARBI</t>
  </si>
  <si>
    <t>ICOGNITO</t>
  </si>
  <si>
    <t>안농</t>
  </si>
  <si>
    <t>未知图腾</t>
  </si>
  <si>
    <t>未知圖騰</t>
  </si>
  <si>
    <t>ソーナンス</t>
  </si>
  <si>
    <t>WOBBUFFET</t>
  </si>
  <si>
    <t>QULBUTOKE</t>
  </si>
  <si>
    <t>WOINGENAU</t>
  </si>
  <si>
    <t>마자용</t>
  </si>
  <si>
    <t>果然翁</t>
  </si>
  <si>
    <t>キリンリキ</t>
  </si>
  <si>
    <t>GIRAFARIG</t>
  </si>
  <si>
    <t>키링키</t>
  </si>
  <si>
    <t>麒麟奇</t>
  </si>
  <si>
    <t>クヌギダマ</t>
  </si>
  <si>
    <t>PINECO</t>
  </si>
  <si>
    <t>POMDEPIK</t>
  </si>
  <si>
    <t>TANNZA</t>
  </si>
  <si>
    <t>피콘</t>
  </si>
  <si>
    <t>榛果球</t>
  </si>
  <si>
    <t>フォレトス</t>
  </si>
  <si>
    <t>FORRETRESS</t>
  </si>
  <si>
    <t>FORETRESS</t>
  </si>
  <si>
    <t>FORSTELLKA</t>
  </si>
  <si>
    <t>쏘콘</t>
  </si>
  <si>
    <t>佛烈托斯</t>
  </si>
  <si>
    <t>ノコッチ</t>
  </si>
  <si>
    <t>DUNSPARCE</t>
  </si>
  <si>
    <t>INSOLOURDO</t>
  </si>
  <si>
    <t>DUMMISEL</t>
  </si>
  <si>
    <t>노고치</t>
  </si>
  <si>
    <t>土龙弟弟</t>
  </si>
  <si>
    <t>土龍弟弟</t>
  </si>
  <si>
    <t>グライガー</t>
  </si>
  <si>
    <t>GLIGAR</t>
  </si>
  <si>
    <t>SCORPLANE</t>
  </si>
  <si>
    <t>SKORGLA</t>
  </si>
  <si>
    <t>글라이거</t>
  </si>
  <si>
    <t>天蝎</t>
  </si>
  <si>
    <t>天蠍</t>
  </si>
  <si>
    <t>ハガネール</t>
  </si>
  <si>
    <t>STEELIX</t>
  </si>
  <si>
    <t>STAHLOS</t>
  </si>
  <si>
    <t>강철톤</t>
  </si>
  <si>
    <t>大钢蛇</t>
  </si>
  <si>
    <t>大鋼蛇</t>
  </si>
  <si>
    <t>ブルー</t>
  </si>
  <si>
    <t>SNUBBULL</t>
  </si>
  <si>
    <t>布鲁</t>
  </si>
  <si>
    <t>布魯</t>
  </si>
  <si>
    <t>グランブル</t>
  </si>
  <si>
    <t>GRANBULL</t>
  </si>
  <si>
    <t>그랑블루</t>
  </si>
  <si>
    <t>布鲁皇</t>
  </si>
  <si>
    <t>布魯皇</t>
  </si>
  <si>
    <t>ハリーセン</t>
  </si>
  <si>
    <t>QWILFISH</t>
  </si>
  <si>
    <t>BALDORFISH</t>
  </si>
  <si>
    <t>침바루</t>
  </si>
  <si>
    <t>千针鱼</t>
  </si>
  <si>
    <t>千針魚</t>
  </si>
  <si>
    <t>ハッサム</t>
  </si>
  <si>
    <t>SCIZOR</t>
  </si>
  <si>
    <t>CIZAYOX</t>
  </si>
  <si>
    <t>SCHEROX</t>
  </si>
  <si>
    <t>핫삼</t>
  </si>
  <si>
    <t>巨钳螳螂</t>
  </si>
  <si>
    <t>巨鉗螳螂</t>
  </si>
  <si>
    <t>ツボツボ</t>
  </si>
  <si>
    <t>SHUCKLE</t>
  </si>
  <si>
    <t>CARATROC</t>
  </si>
  <si>
    <t>POTTROTT</t>
  </si>
  <si>
    <t>단단지</t>
  </si>
  <si>
    <t>壶壶</t>
  </si>
  <si>
    <t>壺壺</t>
  </si>
  <si>
    <t>ヘラクロス</t>
  </si>
  <si>
    <t>HERACROSS</t>
  </si>
  <si>
    <t>SCARHINO</t>
  </si>
  <si>
    <t>SKARABORN</t>
  </si>
  <si>
    <t>헤라크로스</t>
  </si>
  <si>
    <t>赫拉克罗斯</t>
  </si>
  <si>
    <t>赫拉克羅斯</t>
  </si>
  <si>
    <t>ニューラ</t>
  </si>
  <si>
    <t>SNEASEL</t>
  </si>
  <si>
    <t>FARFURET</t>
  </si>
  <si>
    <t>SNIEBEL</t>
  </si>
  <si>
    <t>포푸니</t>
  </si>
  <si>
    <t>狃拉</t>
  </si>
  <si>
    <t>ヒメグマ</t>
  </si>
  <si>
    <t>TEDDIURSA</t>
  </si>
  <si>
    <t>깜지곰</t>
  </si>
  <si>
    <t>熊宝宝</t>
  </si>
  <si>
    <t>熊寶寶</t>
  </si>
  <si>
    <t>リングマ</t>
  </si>
  <si>
    <t>URSARING</t>
  </si>
  <si>
    <t>링곰</t>
  </si>
  <si>
    <t>圈圈熊</t>
  </si>
  <si>
    <t>マグマッグ</t>
  </si>
  <si>
    <t>SLUGMA</t>
  </si>
  <si>
    <t>LIMAGMA</t>
  </si>
  <si>
    <t>SCHNECKMAG</t>
  </si>
  <si>
    <t>마그마그</t>
  </si>
  <si>
    <t>熔岩虫</t>
  </si>
  <si>
    <t>熔岩蟲</t>
  </si>
  <si>
    <t>マグカルゴ</t>
  </si>
  <si>
    <t>MAGCARGO</t>
  </si>
  <si>
    <t>VOLCAROPOD</t>
  </si>
  <si>
    <t>마그카르고</t>
  </si>
  <si>
    <t>熔岩蜗牛</t>
  </si>
  <si>
    <t>熔岩蝸牛</t>
  </si>
  <si>
    <t>ウリムー</t>
  </si>
  <si>
    <t>SWINUB</t>
  </si>
  <si>
    <t>MARCACRIN</t>
  </si>
  <si>
    <t>QUIEKEL</t>
  </si>
  <si>
    <t>꾸꾸리</t>
  </si>
  <si>
    <t>小山猪</t>
  </si>
  <si>
    <t>小山豬</t>
  </si>
  <si>
    <t>イノムー</t>
  </si>
  <si>
    <t>PILOSWINE</t>
  </si>
  <si>
    <t>COCHIGNON</t>
  </si>
  <si>
    <t>KEIFEL</t>
  </si>
  <si>
    <t>메꾸리</t>
  </si>
  <si>
    <t>长毛猪</t>
  </si>
  <si>
    <t>長毛豬</t>
  </si>
  <si>
    <t>サニーゴ</t>
  </si>
  <si>
    <t>CORSOLA</t>
  </si>
  <si>
    <t>CORAYON</t>
  </si>
  <si>
    <t>CORASONN</t>
  </si>
  <si>
    <t>코산호</t>
  </si>
  <si>
    <t>太阳珊瑚</t>
  </si>
  <si>
    <t>太陽珊瑚</t>
  </si>
  <si>
    <t>テッポウオ</t>
  </si>
  <si>
    <t>REMORAID</t>
  </si>
  <si>
    <t>총어</t>
  </si>
  <si>
    <t>铁炮鱼</t>
  </si>
  <si>
    <t>鐵炮魚</t>
  </si>
  <si>
    <t>オクタン</t>
  </si>
  <si>
    <t>OCTILLERY</t>
  </si>
  <si>
    <t>대포무노</t>
  </si>
  <si>
    <t>章鱼桶</t>
  </si>
  <si>
    <t>章魚桶</t>
  </si>
  <si>
    <t>デリバード</t>
  </si>
  <si>
    <t>DELIBIRD</t>
  </si>
  <si>
    <t>CADOIZO</t>
  </si>
  <si>
    <t>BOTOGEL</t>
  </si>
  <si>
    <t>딜리버드</t>
  </si>
  <si>
    <t>信使鸟</t>
  </si>
  <si>
    <t>信使鳥</t>
  </si>
  <si>
    <t>マンタイン</t>
  </si>
  <si>
    <t>MANTINE</t>
  </si>
  <si>
    <t>DEMANTA</t>
  </si>
  <si>
    <t>MANTAX</t>
  </si>
  <si>
    <t>만타인</t>
  </si>
  <si>
    <t>巨翅飞鱼</t>
  </si>
  <si>
    <t>巨翅飛魚</t>
  </si>
  <si>
    <t>エアームド</t>
  </si>
  <si>
    <t>SKARMORY</t>
  </si>
  <si>
    <t>AIRMURE</t>
  </si>
  <si>
    <t>PANZAERON</t>
  </si>
  <si>
    <t>무장조</t>
  </si>
  <si>
    <t>盔甲鸟</t>
  </si>
  <si>
    <t>盔甲鳥</t>
  </si>
  <si>
    <t>デルビル</t>
  </si>
  <si>
    <t>HOUNDOUR</t>
  </si>
  <si>
    <t>MALOSSE</t>
  </si>
  <si>
    <t>HUNDUSTER</t>
  </si>
  <si>
    <t>델빌</t>
  </si>
  <si>
    <t>戴鲁比</t>
  </si>
  <si>
    <t>戴魯比</t>
  </si>
  <si>
    <t>ヘルガー</t>
  </si>
  <si>
    <t>HOUNDOOM</t>
  </si>
  <si>
    <t>DEMOLOSSE</t>
  </si>
  <si>
    <t>HUNDEMON</t>
  </si>
  <si>
    <t>헬가</t>
  </si>
  <si>
    <t>黑鲁加</t>
  </si>
  <si>
    <t>黑魯加</t>
  </si>
  <si>
    <t>キングドラ</t>
  </si>
  <si>
    <t>KINGDRA</t>
  </si>
  <si>
    <t>HYPOROI</t>
  </si>
  <si>
    <t>SEEDRAKING</t>
  </si>
  <si>
    <t>킹드라</t>
  </si>
  <si>
    <t>刺龙王</t>
  </si>
  <si>
    <t>刺龍王</t>
  </si>
  <si>
    <t>ゴマゾウ</t>
  </si>
  <si>
    <t>PHANPY</t>
  </si>
  <si>
    <t>코코리</t>
  </si>
  <si>
    <t>小小象</t>
  </si>
  <si>
    <t>ドンファン</t>
  </si>
  <si>
    <t>DONPHAN</t>
  </si>
  <si>
    <t>코리갑</t>
  </si>
  <si>
    <t>顿甲</t>
  </si>
  <si>
    <t>頓甲</t>
  </si>
  <si>
    <t>ポリゴン2</t>
  </si>
  <si>
    <t>PORYGON2</t>
  </si>
  <si>
    <t>폴리곤2</t>
  </si>
  <si>
    <t>多边兽２型</t>
  </si>
  <si>
    <t>多邊獸Ⅱ</t>
  </si>
  <si>
    <t>オドシシ</t>
  </si>
  <si>
    <t>STANTLER</t>
  </si>
  <si>
    <t>CERFROUSSE</t>
  </si>
  <si>
    <t>DAMHIRPLEX</t>
  </si>
  <si>
    <t>노라키</t>
  </si>
  <si>
    <t>惊角鹿</t>
  </si>
  <si>
    <t>驚角鹿</t>
  </si>
  <si>
    <t>ドーブル</t>
  </si>
  <si>
    <t>SMEARGLE</t>
  </si>
  <si>
    <t>QUEULORIOR</t>
  </si>
  <si>
    <t>FARBEAGLE</t>
  </si>
  <si>
    <t>루브도</t>
  </si>
  <si>
    <t>图图犬</t>
  </si>
  <si>
    <t>圖圖犬</t>
  </si>
  <si>
    <t>バルキー</t>
  </si>
  <si>
    <t>TYROGUE</t>
  </si>
  <si>
    <t>DEBUGANT</t>
  </si>
  <si>
    <t>RABAUZ</t>
  </si>
  <si>
    <t>배루키</t>
  </si>
  <si>
    <t>无畏小子</t>
  </si>
  <si>
    <t>無畏小子</t>
  </si>
  <si>
    <t>カポエラー</t>
  </si>
  <si>
    <t>HITMONTOP</t>
  </si>
  <si>
    <t>KAPOERA</t>
  </si>
  <si>
    <t>카포에라</t>
  </si>
  <si>
    <t>战舞郎</t>
  </si>
  <si>
    <t>戰舞郎</t>
  </si>
  <si>
    <t>ムチュール</t>
  </si>
  <si>
    <t>SMOOCHUM</t>
  </si>
  <si>
    <t>LIPPOUTI</t>
  </si>
  <si>
    <t>KUSSILLA</t>
  </si>
  <si>
    <t>뽀뽀라</t>
  </si>
  <si>
    <t>迷唇娃</t>
  </si>
  <si>
    <t>エレキッド</t>
  </si>
  <si>
    <t>ELEKID</t>
  </si>
  <si>
    <t>에레키드</t>
  </si>
  <si>
    <t>电击怪</t>
  </si>
  <si>
    <t>電擊怪</t>
  </si>
  <si>
    <t>ブビィ</t>
  </si>
  <si>
    <t>MAGBY</t>
  </si>
  <si>
    <t>마그비</t>
  </si>
  <si>
    <t>鸭嘴宝宝</t>
  </si>
  <si>
    <t>鴨嘴寶寶</t>
  </si>
  <si>
    <t>ミルタンク</t>
  </si>
  <si>
    <t>MILTANK</t>
  </si>
  <si>
    <t>ECREMEUH</t>
  </si>
  <si>
    <t>밀탱크</t>
  </si>
  <si>
    <t>大奶罐</t>
  </si>
  <si>
    <t>ハピナス</t>
  </si>
  <si>
    <t>BLISSEY</t>
  </si>
  <si>
    <t>LEUPHORIE</t>
  </si>
  <si>
    <t>HEITEIRA</t>
  </si>
  <si>
    <t>해피너스</t>
  </si>
  <si>
    <t>幸福蛋</t>
  </si>
  <si>
    <t>ライコウ</t>
  </si>
  <si>
    <t>RAIKOU</t>
  </si>
  <si>
    <t>라이코</t>
  </si>
  <si>
    <t>雷公</t>
  </si>
  <si>
    <t>エンテイ</t>
  </si>
  <si>
    <t>ENTEI</t>
  </si>
  <si>
    <t>앤테이</t>
  </si>
  <si>
    <t>炎帝</t>
  </si>
  <si>
    <t>スイクン</t>
  </si>
  <si>
    <t>SUICUNE</t>
  </si>
  <si>
    <t>스이쿤</t>
  </si>
  <si>
    <t>水君</t>
  </si>
  <si>
    <t>ヨーギラス</t>
  </si>
  <si>
    <t>LARVITAR</t>
  </si>
  <si>
    <t>EMBRYLEX</t>
  </si>
  <si>
    <t>애버라스</t>
  </si>
  <si>
    <t>幼基拉斯</t>
  </si>
  <si>
    <t>サナギラス</t>
  </si>
  <si>
    <t>PUPITAR</t>
  </si>
  <si>
    <t>YMPHECT</t>
  </si>
  <si>
    <t>데기라스</t>
  </si>
  <si>
    <t>沙基拉斯</t>
  </si>
  <si>
    <t>バンギラス</t>
  </si>
  <si>
    <t>TYRANITAR</t>
  </si>
  <si>
    <t>TYRANOCIF</t>
  </si>
  <si>
    <t>DESPOTAR</t>
  </si>
  <si>
    <t>마기라스</t>
  </si>
  <si>
    <t>班基拉斯</t>
  </si>
  <si>
    <t>ルギア</t>
  </si>
  <si>
    <t>LUGIA</t>
  </si>
  <si>
    <t>루기아</t>
  </si>
  <si>
    <t>洛奇亚</t>
  </si>
  <si>
    <t>洛奇亞</t>
  </si>
  <si>
    <t>ホウオウ</t>
  </si>
  <si>
    <t>HO-OH</t>
  </si>
  <si>
    <t>칠색조</t>
  </si>
  <si>
    <t>凤王</t>
  </si>
  <si>
    <t>鳳王</t>
  </si>
  <si>
    <t>セレビィ</t>
  </si>
  <si>
    <t>CELEBI</t>
  </si>
  <si>
    <t>세레비</t>
  </si>
  <si>
    <t>时拉比</t>
  </si>
  <si>
    <t>時拉比</t>
  </si>
  <si>
    <t>International</t>
  </si>
  <si>
    <t>Japanese</t>
  </si>
  <si>
    <t>À</t>
  </si>
  <si>
    <t>Á</t>
  </si>
  <si>
    <t>Â</t>
  </si>
  <si>
    <t>Ç</t>
  </si>
  <si>
    <t>È</t>
  </si>
  <si>
    <t>É</t>
  </si>
  <si>
    <t>Ê</t>
  </si>
  <si>
    <t>Ë</t>
  </si>
  <si>
    <t>Ì</t>
  </si>
  <si>
    <t>Ã</t>
  </si>
  <si>
    <t>Î</t>
  </si>
  <si>
    <t>Ï</t>
  </si>
  <si>
    <t>Ò</t>
  </si>
  <si>
    <t>Ó</t>
  </si>
  <si>
    <t>Ô</t>
  </si>
  <si>
    <t>あ</t>
  </si>
  <si>
    <t>い</t>
  </si>
  <si>
    <t>う</t>
  </si>
  <si>
    <t>え</t>
  </si>
  <si>
    <t>お</t>
  </si>
  <si>
    <t>か</t>
  </si>
  <si>
    <t>き</t>
  </si>
  <si>
    <t>く</t>
  </si>
  <si>
    <t>け</t>
  </si>
  <si>
    <t>こ</t>
  </si>
  <si>
    <t>さ</t>
  </si>
  <si>
    <t>し</t>
  </si>
  <si>
    <t>す</t>
  </si>
  <si>
    <t>せ</t>
  </si>
  <si>
    <t>そ</t>
  </si>
  <si>
    <t>ㄱ</t>
  </si>
  <si>
    <t>ㄴ</t>
  </si>
  <si>
    <t>ㄷ</t>
  </si>
  <si>
    <t>ㄹ</t>
  </si>
  <si>
    <t>ㅁ</t>
  </si>
  <si>
    <t>ㅂ</t>
  </si>
  <si>
    <t>ㅅ</t>
  </si>
  <si>
    <t>ㅇ</t>
  </si>
  <si>
    <t>ㅈ</t>
  </si>
  <si>
    <t>ㅊ</t>
  </si>
  <si>
    <t>ㅋ</t>
  </si>
  <si>
    <t>ㅌ</t>
  </si>
  <si>
    <t>ㅍ</t>
  </si>
  <si>
    <t>ㅎ</t>
  </si>
  <si>
    <t>ㄲ</t>
  </si>
  <si>
    <t>ㄸ</t>
  </si>
  <si>
    <t>Œ</t>
  </si>
  <si>
    <t>Ù</t>
  </si>
  <si>
    <t>Ú</t>
  </si>
  <si>
    <t>Û</t>
  </si>
  <si>
    <t>Ñ</t>
  </si>
  <si>
    <t>ß</t>
  </si>
  <si>
    <t>à</t>
  </si>
  <si>
    <t>á</t>
  </si>
  <si>
    <t>Õ</t>
  </si>
  <si>
    <t>ç</t>
  </si>
  <si>
    <t>è</t>
  </si>
  <si>
    <t>é</t>
  </si>
  <si>
    <t>ê</t>
  </si>
  <si>
    <t>ë</t>
  </si>
  <si>
    <t>ì</t>
  </si>
  <si>
    <t>ã</t>
  </si>
  <si>
    <t>た</t>
  </si>
  <si>
    <t>ち</t>
  </si>
  <si>
    <t>つ</t>
  </si>
  <si>
    <t>て</t>
  </si>
  <si>
    <t>と</t>
  </si>
  <si>
    <t>な</t>
  </si>
  <si>
    <t>に</t>
  </si>
  <si>
    <t>ぬ</t>
  </si>
  <si>
    <t>ね</t>
  </si>
  <si>
    <t>の</t>
  </si>
  <si>
    <t>は</t>
  </si>
  <si>
    <t>ひ</t>
  </si>
  <si>
    <t>ふ</t>
  </si>
  <si>
    <t>へ</t>
  </si>
  <si>
    <t>ほ</t>
  </si>
  <si>
    <t>ま</t>
  </si>
  <si>
    <t>ㅃ</t>
  </si>
  <si>
    <t>ㅆ</t>
  </si>
  <si>
    <t>ㅉ</t>
  </si>
  <si>
    <t>ó</t>
  </si>
  <si>
    <t>î</t>
  </si>
  <si>
    <t>ï</t>
  </si>
  <si>
    <t>ò</t>
  </si>
  <si>
    <t>ô</t>
  </si>
  <si>
    <t>œ</t>
  </si>
  <si>
    <t>ù</t>
  </si>
  <si>
    <t>ú</t>
  </si>
  <si>
    <t>û</t>
  </si>
  <si>
    <t>ñ</t>
  </si>
  <si>
    <t>º</t>
  </si>
  <si>
    <t>ª</t>
  </si>
  <si>
    <t>ᵉʳ</t>
  </si>
  <si>
    <t>&amp;</t>
  </si>
  <si>
    <t>+</t>
  </si>
  <si>
    <t>õ</t>
  </si>
  <si>
    <t>み</t>
  </si>
  <si>
    <t>む</t>
  </si>
  <si>
    <t>め</t>
  </si>
  <si>
    <t>も</t>
  </si>
  <si>
    <t>や</t>
  </si>
  <si>
    <t>ゆ</t>
  </si>
  <si>
    <t>よ</t>
  </si>
  <si>
    <t>ら</t>
  </si>
  <si>
    <t>り</t>
  </si>
  <si>
    <t>る</t>
  </si>
  <si>
    <t>れ</t>
  </si>
  <si>
    <t>ろ</t>
  </si>
  <si>
    <t>わ</t>
  </si>
  <si>
    <t>を</t>
  </si>
  <si>
    <t>ん</t>
  </si>
  <si>
    <t>ぁ</t>
  </si>
  <si>
    <t>ㅏ</t>
  </si>
  <si>
    <t>ㅑ</t>
  </si>
  <si>
    <t>ㅓ</t>
  </si>
  <si>
    <t>ㅕ</t>
  </si>
  <si>
    <t>ㅗ</t>
  </si>
  <si>
    <t>ㅛ</t>
  </si>
  <si>
    <t>ㅜ</t>
  </si>
  <si>
    <t>ㅠ</t>
  </si>
  <si>
    <t>ㅡ</t>
  </si>
  <si>
    <t>ㅣ</t>
  </si>
  <si>
    <t>ㅐ</t>
  </si>
  <si>
    <t>ㅒ</t>
  </si>
  <si>
    <t>ㅔ</t>
  </si>
  <si>
    <t>ㅖ</t>
  </si>
  <si>
    <t>ㅘ</t>
  </si>
  <si>
    <t>ㅙ</t>
  </si>
  <si>
    <t>ｌ</t>
  </si>
  <si>
    <t>𝑙</t>
  </si>
  <si>
    <t>𝓁</t>
  </si>
  <si>
    <t>𝔩</t>
  </si>
  <si>
    <t>𝚕</t>
  </si>
  <si>
    <t>=</t>
  </si>
  <si>
    <t>;</t>
  </si>
  <si>
    <t>„</t>
  </si>
  <si>
    <t>ぃ</t>
  </si>
  <si>
    <t>ぅ</t>
  </si>
  <si>
    <t>ぇ</t>
  </si>
  <si>
    <t>ぉ</t>
  </si>
  <si>
    <t>ゃ</t>
  </si>
  <si>
    <t>ゅ</t>
  </si>
  <si>
    <t>ょ</t>
  </si>
  <si>
    <t>が</t>
  </si>
  <si>
    <t>ぎ</t>
  </si>
  <si>
    <t>ぐ</t>
  </si>
  <si>
    <t>げ</t>
  </si>
  <si>
    <t>ご</t>
  </si>
  <si>
    <t>ざ</t>
  </si>
  <si>
    <t>じ</t>
  </si>
  <si>
    <t>ず</t>
  </si>
  <si>
    <t>ぜ</t>
  </si>
  <si>
    <t>ㅚ</t>
  </si>
  <si>
    <t>ㅝ</t>
  </si>
  <si>
    <t>ㅞ</t>
  </si>
  <si>
    <t>ㅟ</t>
  </si>
  <si>
    <t>ㅢ</t>
  </si>
  <si>
    <t>ぞ</t>
  </si>
  <si>
    <t>だ</t>
  </si>
  <si>
    <t>ぢ</t>
  </si>
  <si>
    <t>づ</t>
  </si>
  <si>
    <t>で</t>
  </si>
  <si>
    <t>ど</t>
  </si>
  <si>
    <t>ば</t>
  </si>
  <si>
    <t>び</t>
  </si>
  <si>
    <t>ぶ</t>
  </si>
  <si>
    <t>べ</t>
  </si>
  <si>
    <t>ぼ</t>
  </si>
  <si>
    <t>ぱ</t>
  </si>
  <si>
    <t>ぴ</t>
  </si>
  <si>
    <t>ぷ</t>
  </si>
  <si>
    <t>ぺ</t>
  </si>
  <si>
    <t>ぽ</t>
  </si>
  <si>
    <t>▯</t>
  </si>
  <si>
    <t>¿</t>
  </si>
  <si>
    <t>¡</t>
  </si>
  <si>
    <t>Í</t>
  </si>
  <si>
    <t>%</t>
  </si>
  <si>
    <t>(</t>
  </si>
  <si>
    <t>)</t>
  </si>
  <si>
    <t>っ</t>
  </si>
  <si>
    <t>ア</t>
  </si>
  <si>
    <t>イ</t>
  </si>
  <si>
    <t>ウ</t>
  </si>
  <si>
    <t>エ</t>
  </si>
  <si>
    <t>オ</t>
  </si>
  <si>
    <t>カ</t>
  </si>
  <si>
    <t>キ</t>
  </si>
  <si>
    <t>ク</t>
  </si>
  <si>
    <t>ケ</t>
  </si>
  <si>
    <t>コ</t>
  </si>
  <si>
    <t>サ</t>
  </si>
  <si>
    <t>シ</t>
  </si>
  <si>
    <t>ス</t>
  </si>
  <si>
    <t>セ</t>
  </si>
  <si>
    <t>ソ</t>
  </si>
  <si>
    <t>𝒑</t>
  </si>
  <si>
    <t>𝚙</t>
  </si>
  <si>
    <t>â</t>
  </si>
  <si>
    <t>í</t>
  </si>
  <si>
    <t>タ</t>
  </si>
  <si>
    <t>チ</t>
  </si>
  <si>
    <t>ツ</t>
  </si>
  <si>
    <t>テ</t>
  </si>
  <si>
    <t>ト</t>
  </si>
  <si>
    <t>ナ</t>
  </si>
  <si>
    <t>ニ</t>
  </si>
  <si>
    <t>ヌ</t>
  </si>
  <si>
    <t>ネ</t>
  </si>
  <si>
    <t>ノ</t>
  </si>
  <si>
    <t>ハ</t>
  </si>
  <si>
    <t>ヒ</t>
  </si>
  <si>
    <t>フ</t>
  </si>
  <si>
    <t>ヘ</t>
  </si>
  <si>
    <t>ホ</t>
  </si>
  <si>
    <t>マ</t>
  </si>
  <si>
    <t>~</t>
  </si>
  <si>
    <t>ｎ</t>
  </si>
  <si>
    <t>𝐧</t>
  </si>
  <si>
    <t>𝓃</t>
  </si>
  <si>
    <t>𝚗</t>
  </si>
  <si>
    <t>⬆</t>
  </si>
  <si>
    <t>⬇</t>
  </si>
  <si>
    <t>⬅</t>
  </si>
  <si>
    <t>➡</t>
  </si>
  <si>
    <t>ミ</t>
  </si>
  <si>
    <t>ム</t>
  </si>
  <si>
    <t>メ</t>
  </si>
  <si>
    <t>モ</t>
  </si>
  <si>
    <t>ヤ</t>
  </si>
  <si>
    <t>ユ</t>
  </si>
  <si>
    <t>ヨ</t>
  </si>
  <si>
    <t>ラ</t>
  </si>
  <si>
    <t>リ</t>
  </si>
  <si>
    <t>ル</t>
  </si>
  <si>
    <t>レ</t>
  </si>
  <si>
    <t>ロ</t>
  </si>
  <si>
    <t>ワ</t>
  </si>
  <si>
    <t>ヲ</t>
  </si>
  <si>
    <t>ン</t>
  </si>
  <si>
    <t>ァ</t>
  </si>
  <si>
    <t>ᵉ</t>
  </si>
  <si>
    <t>&lt;</t>
  </si>
  <si>
    <t>&gt;</t>
  </si>
  <si>
    <t>«</t>
  </si>
  <si>
    <t>»</t>
  </si>
  <si>
    <t>ィ</t>
  </si>
  <si>
    <t>ゥ</t>
  </si>
  <si>
    <t>ェ</t>
  </si>
  <si>
    <t>ォ</t>
  </si>
  <si>
    <t>ャ</t>
  </si>
  <si>
    <t>ュ</t>
  </si>
  <si>
    <t>ョ</t>
  </si>
  <si>
    <t>ガ</t>
  </si>
  <si>
    <t>ギ</t>
  </si>
  <si>
    <t>グ</t>
  </si>
  <si>
    <t>ゲ</t>
  </si>
  <si>
    <t>ゴ</t>
  </si>
  <si>
    <t>ザ</t>
  </si>
  <si>
    <t>ジ</t>
  </si>
  <si>
    <t>ズ</t>
  </si>
  <si>
    <t>ゼ</t>
  </si>
  <si>
    <t>ゾ</t>
  </si>
  <si>
    <t>ダ</t>
  </si>
  <si>
    <t>ヂ</t>
  </si>
  <si>
    <t>ヅ</t>
  </si>
  <si>
    <t>デ</t>
  </si>
  <si>
    <t>ド</t>
  </si>
  <si>
    <t>バ</t>
  </si>
  <si>
    <t>ビ</t>
  </si>
  <si>
    <t>ブ</t>
  </si>
  <si>
    <t>ベ</t>
  </si>
  <si>
    <t>ボ</t>
  </si>
  <si>
    <t>パ</t>
  </si>
  <si>
    <t>ピ</t>
  </si>
  <si>
    <t>プ</t>
  </si>
  <si>
    <t>ペ</t>
  </si>
  <si>
    <t>ポ</t>
  </si>
  <si>
    <t>ʳᵉ</t>
  </si>
  <si>
    <t>!</t>
  </si>
  <si>
    <t>?</t>
  </si>
  <si>
    <t>.</t>
  </si>
  <si>
    <t>・</t>
  </si>
  <si>
    <t>ッ</t>
  </si>
  <si>
    <t>！</t>
  </si>
  <si>
    <t>？</t>
  </si>
  <si>
    <t>。</t>
  </si>
  <si>
    <t>ー</t>
  </si>
  <si>
    <t>…</t>
  </si>
  <si>
    <t>“</t>
  </si>
  <si>
    <t>”</t>
  </si>
  <si>
    <t>‘</t>
  </si>
  <si>
    <t>’</t>
  </si>
  <si>
    <t>♂</t>
  </si>
  <si>
    <t>♀</t>
  </si>
  <si>
    <t>,</t>
  </si>
  <si>
    <t>×</t>
  </si>
  <si>
    <t>/</t>
  </si>
  <si>
    <t>A</t>
  </si>
  <si>
    <t>B</t>
  </si>
  <si>
    <t>C</t>
  </si>
  <si>
    <t>D</t>
  </si>
  <si>
    <t>E</t>
  </si>
  <si>
    <t>‥</t>
  </si>
  <si>
    <t>『</t>
  </si>
  <si>
    <t>』</t>
  </si>
  <si>
    <t>「</t>
  </si>
  <si>
    <t>」</t>
  </si>
  <si>
    <t>円</t>
  </si>
  <si>
    <t>F</t>
  </si>
  <si>
    <t>G</t>
  </si>
  <si>
    <t>H</t>
  </si>
  <si>
    <t>I</t>
  </si>
  <si>
    <t>J</t>
  </si>
  <si>
    <t>K</t>
  </si>
  <si>
    <t>L</t>
  </si>
  <si>
    <t>M</t>
  </si>
  <si>
    <t>N</t>
  </si>
  <si>
    <t>O</t>
  </si>
  <si>
    <t>P</t>
  </si>
  <si>
    <t>Q</t>
  </si>
  <si>
    <t>R</t>
  </si>
  <si>
    <t>S</t>
  </si>
  <si>
    <t>T</t>
  </si>
  <si>
    <t>U</t>
  </si>
  <si>
    <t>V</t>
  </si>
  <si>
    <t>W</t>
  </si>
  <si>
    <t>X</t>
  </si>
  <si>
    <t>Y</t>
  </si>
  <si>
    <t>Z</t>
  </si>
  <si>
    <t>a</t>
  </si>
  <si>
    <t>b</t>
  </si>
  <si>
    <t>c</t>
  </si>
  <si>
    <t>d</t>
  </si>
  <si>
    <t>e</t>
  </si>
  <si>
    <t>f</t>
  </si>
  <si>
    <t>g</t>
  </si>
  <si>
    <t>h</t>
  </si>
  <si>
    <t>i</t>
  </si>
  <si>
    <t>j</t>
  </si>
  <si>
    <t>k</t>
  </si>
  <si>
    <t>l</t>
  </si>
  <si>
    <t>m</t>
  </si>
  <si>
    <t>n</t>
  </si>
  <si>
    <t>o</t>
  </si>
  <si>
    <t>p</t>
  </si>
  <si>
    <t>q</t>
  </si>
  <si>
    <t>r</t>
  </si>
  <si>
    <t>s</t>
  </si>
  <si>
    <t>t</t>
  </si>
  <si>
    <t>u</t>
  </si>
  <si>
    <t>v</t>
  </si>
  <si>
    <t>w</t>
  </si>
  <si>
    <t>x</t>
  </si>
  <si>
    <t>y</t>
  </si>
  <si>
    <t>z</t>
  </si>
  <si>
    <t>▶</t>
  </si>
  <si>
    <t>:</t>
  </si>
  <si>
    <t>Ä</t>
  </si>
  <si>
    <t>Ö</t>
  </si>
  <si>
    <t>Ü</t>
  </si>
  <si>
    <t>ä</t>
  </si>
  <si>
    <t>ö</t>
  </si>
  <si>
    <t>ü</t>
  </si>
  <si>
    <t>*</t>
  </si>
  <si>
    <t>Ş</t>
  </si>
  <si>
    <t>ȼ</t>
  </si>
  <si>
    <t>_</t>
  </si>
  <si>
    <t>Ʋ</t>
  </si>
  <si>
    <t>Ň</t>
  </si>
  <si>
    <t>ƞ</t>
  </si>
  <si>
    <t>：</t>
  </si>
  <si>
    <t>、</t>
  </si>
  <si>
    <t>Control Characters:</t>
  </si>
  <si>
    <t>가</t>
  </si>
  <si>
    <t>각</t>
  </si>
  <si>
    <t>간</t>
  </si>
  <si>
    <t>갇</t>
  </si>
  <si>
    <t>갈</t>
  </si>
  <si>
    <t>갉</t>
  </si>
  <si>
    <t>갊</t>
  </si>
  <si>
    <t>감</t>
  </si>
  <si>
    <t>갑</t>
  </si>
  <si>
    <t>값</t>
  </si>
  <si>
    <t>갓</t>
  </si>
  <si>
    <t>갔</t>
  </si>
  <si>
    <t>강</t>
  </si>
  <si>
    <t>갖</t>
  </si>
  <si>
    <t>갗</t>
  </si>
  <si>
    <t>Internal</t>
  </si>
  <si>
    <t>External</t>
  </si>
  <si>
    <t>같</t>
  </si>
  <si>
    <t>갚</t>
  </si>
  <si>
    <t>갛</t>
  </si>
  <si>
    <t>개</t>
  </si>
  <si>
    <t>객</t>
  </si>
  <si>
    <t>갠</t>
  </si>
  <si>
    <t>갤</t>
  </si>
  <si>
    <t>갬</t>
  </si>
  <si>
    <t>갭</t>
  </si>
  <si>
    <t>갯</t>
  </si>
  <si>
    <t>갰</t>
  </si>
  <si>
    <t>갱</t>
  </si>
  <si>
    <t>갸</t>
  </si>
  <si>
    <t>갹</t>
  </si>
  <si>
    <t>갼</t>
  </si>
  <si>
    <t>걀</t>
  </si>
  <si>
    <t>{SCL}</t>
  </si>
  <si>
    <t>Marks a prompt for the player to press a button to continue the dialogue. Will scroll the previous dialogue up one line before printing the next line. Does not need to be explicity added in PTGB text, but can be if needed.</t>
  </si>
  <si>
    <t>걋</t>
  </si>
  <si>
    <t>걍</t>
  </si>
  <si>
    <t>걔</t>
  </si>
  <si>
    <t>걘</t>
  </si>
  <si>
    <t>걜</t>
  </si>
  <si>
    <t>거</t>
  </si>
  <si>
    <t>걱</t>
  </si>
  <si>
    <t>건</t>
  </si>
  <si>
    <t>걷</t>
  </si>
  <si>
    <t>걸</t>
  </si>
  <si>
    <t>걺</t>
  </si>
  <si>
    <t>검</t>
  </si>
  <si>
    <t>겁</t>
  </si>
  <si>
    <t>것</t>
  </si>
  <si>
    <t>겄</t>
  </si>
  <si>
    <t>겅</t>
  </si>
  <si>
    <t>{CLR}</t>
  </si>
  <si>
    <t>Marks a prompt for the player to press a button to continue the dialogue. Will clear the dialogue box entirely. Does not need to be explicity added in PTGB text, but can be if needed.</t>
  </si>
  <si>
    <t>겆</t>
  </si>
  <si>
    <t>겉</t>
  </si>
  <si>
    <t>겊</t>
  </si>
  <si>
    <t>겋</t>
  </si>
  <si>
    <t>게</t>
  </si>
  <si>
    <t>겐</t>
  </si>
  <si>
    <t>겔</t>
  </si>
  <si>
    <t>겜</t>
  </si>
  <si>
    <t>겝</t>
  </si>
  <si>
    <t>겟</t>
  </si>
  <si>
    <t>겠</t>
  </si>
  <si>
    <t>겡</t>
  </si>
  <si>
    <t>겨</t>
  </si>
  <si>
    <t>격</t>
  </si>
  <si>
    <t>겪</t>
  </si>
  <si>
    <t>견</t>
  </si>
  <si>
    <t>{DEF}</t>
  </si>
  <si>
    <t>Formats the text to match the default character dialogue (font in JPN, color everywhere else). PTGB prints the character as a space.</t>
  </si>
  <si>
    <t>겯</t>
  </si>
  <si>
    <t>결</t>
  </si>
  <si>
    <t>겹</t>
  </si>
  <si>
    <t>겸</t>
  </si>
  <si>
    <t>겻</t>
  </si>
  <si>
    <t>겼</t>
  </si>
  <si>
    <t>경</t>
  </si>
  <si>
    <t>곁</t>
  </si>
  <si>
    <t>계</t>
  </si>
  <si>
    <t>곈</t>
  </si>
  <si>
    <t>곌</t>
  </si>
  <si>
    <t>곕</t>
  </si>
  <si>
    <t>곗</t>
  </si>
  <si>
    <t>고</t>
  </si>
  <si>
    <t>곡</t>
  </si>
  <si>
    <t>곤</t>
  </si>
  <si>
    <t>{FEM}</t>
  </si>
  <si>
    <t>Formats the text to match female character dialogue (font in JPN, color everywhere else). PTGB prints the character as a space.</t>
  </si>
  <si>
    <t>{FPC}</t>
  </si>
  <si>
    <t>Formats the text to match "computer" (Fennel from the PC) character dialogue (font in JPN, color everywhere else). PTGB prints the character as a space.</t>
  </si>
  <si>
    <t>곧</t>
  </si>
  <si>
    <t>골</t>
  </si>
  <si>
    <t>곪</t>
  </si>
  <si>
    <t>곬</t>
  </si>
  <si>
    <t>곯</t>
  </si>
  <si>
    <t>곰</t>
  </si>
  <si>
    <t>곱</t>
  </si>
  <si>
    <t>곳</t>
  </si>
  <si>
    <t>공</t>
  </si>
  <si>
    <t>곶</t>
  </si>
  <si>
    <t>과</t>
  </si>
  <si>
    <t>곽</t>
  </si>
  <si>
    <t>관</t>
  </si>
  <si>
    <t>괄</t>
  </si>
  <si>
    <t>괆</t>
  </si>
  <si>
    <t>{MLE}</t>
  </si>
  <si>
    <t>Formats the text to match male character dialogue (font in JPN, color everywhere else). PTGB prints the character as a space.</t>
  </si>
  <si>
    <t>괌</t>
  </si>
  <si>
    <t>괍</t>
  </si>
  <si>
    <t>괏</t>
  </si>
  <si>
    <t>광</t>
  </si>
  <si>
    <t>괘</t>
  </si>
  <si>
    <t>괜</t>
  </si>
  <si>
    <t>괠</t>
  </si>
  <si>
    <t>괩</t>
  </si>
  <si>
    <t>괬</t>
  </si>
  <si>
    <t>괭</t>
  </si>
  <si>
    <t>괴</t>
  </si>
  <si>
    <t>괵</t>
  </si>
  <si>
    <t>괸</t>
  </si>
  <si>
    <t>괼</t>
  </si>
  <si>
    <t>괻</t>
  </si>
  <si>
    <t>{PLR}</t>
  </si>
  <si>
    <t>Escape sequence for printing the player's name in Gen 3. PTGB prints the character as a space.</t>
  </si>
  <si>
    <t>굅</t>
  </si>
  <si>
    <t>굇</t>
  </si>
  <si>
    <t>굉</t>
  </si>
  <si>
    <t>교</t>
  </si>
  <si>
    <t>굔</t>
  </si>
  <si>
    <t>굘</t>
  </si>
  <si>
    <t>굡</t>
  </si>
  <si>
    <t>굣</t>
  </si>
  <si>
    <t>구</t>
  </si>
  <si>
    <t>국</t>
  </si>
  <si>
    <t>군</t>
  </si>
  <si>
    <t>굳</t>
  </si>
  <si>
    <t>굴</t>
  </si>
  <si>
    <t>굵</t>
  </si>
  <si>
    <t>굶</t>
  </si>
  <si>
    <t>굻</t>
  </si>
  <si>
    <t>{NEW}</t>
  </si>
  <si>
    <t>Creates a new line in the textbox. Does not need to be explicity added in PTGB text, but can be if needed.</t>
  </si>
  <si>
    <t>굼</t>
  </si>
  <si>
    <t>굽</t>
  </si>
  <si>
    <t>굿</t>
  </si>
  <si>
    <t>궁</t>
  </si>
  <si>
    <t>궂</t>
  </si>
  <si>
    <t>궈</t>
  </si>
  <si>
    <t>궉</t>
  </si>
  <si>
    <t>권</t>
  </si>
  <si>
    <t>궐</t>
  </si>
  <si>
    <t>궜</t>
  </si>
  <si>
    <t>궝</t>
  </si>
  <si>
    <t>궤</t>
  </si>
  <si>
    <t>궷</t>
  </si>
  <si>
    <t>귀</t>
  </si>
  <si>
    <t>귁</t>
  </si>
  <si>
    <t>귄</t>
  </si>
  <si>
    <t>Used to display the various "Lv" characters for different languages. Should be taken care of internally.</t>
  </si>
  <si>
    <t>귈</t>
  </si>
  <si>
    <t>귐</t>
  </si>
  <si>
    <t>귑</t>
  </si>
  <si>
    <t>귓</t>
  </si>
  <si>
    <t>규</t>
  </si>
  <si>
    <t>균</t>
  </si>
  <si>
    <t>귤</t>
  </si>
  <si>
    <t>그</t>
  </si>
  <si>
    <t>극</t>
  </si>
  <si>
    <t>근</t>
  </si>
  <si>
    <t>귿</t>
  </si>
  <si>
    <t>글</t>
  </si>
  <si>
    <t>긁</t>
  </si>
  <si>
    <t>급</t>
  </si>
  <si>
    <t>긋</t>
  </si>
  <si>
    <t>긍</t>
  </si>
  <si>
    <t>긔</t>
  </si>
  <si>
    <t>기</t>
  </si>
  <si>
    <t>긱</t>
  </si>
  <si>
    <t>긴</t>
  </si>
  <si>
    <t>긷</t>
  </si>
  <si>
    <t>길</t>
  </si>
  <si>
    <t>긺</t>
  </si>
  <si>
    <t>김</t>
  </si>
  <si>
    <t>깁</t>
  </si>
  <si>
    <t>깃</t>
  </si>
  <si>
    <t>깅</t>
  </si>
  <si>
    <t>깆</t>
  </si>
  <si>
    <t>깊</t>
  </si>
  <si>
    <t>까</t>
  </si>
  <si>
    <t>깍</t>
  </si>
  <si>
    <t>깎</t>
  </si>
  <si>
    <t>깐</t>
  </si>
  <si>
    <t>깔</t>
  </si>
  <si>
    <t>깖</t>
  </si>
  <si>
    <t>깜</t>
  </si>
  <si>
    <t>깝</t>
  </si>
  <si>
    <t>깟</t>
  </si>
  <si>
    <t>깠</t>
  </si>
  <si>
    <t>깡</t>
  </si>
  <si>
    <t>깥</t>
  </si>
  <si>
    <t>깨</t>
  </si>
  <si>
    <t>깩</t>
  </si>
  <si>
    <t>깬</t>
  </si>
  <si>
    <t>깰</t>
  </si>
  <si>
    <t>깸</t>
  </si>
  <si>
    <t>깹</t>
  </si>
  <si>
    <t>깻</t>
  </si>
  <si>
    <t>깼</t>
  </si>
  <si>
    <t>깽</t>
  </si>
  <si>
    <t>꺄</t>
  </si>
  <si>
    <t>꺅</t>
  </si>
  <si>
    <t>꺌</t>
  </si>
  <si>
    <t>꺼</t>
  </si>
  <si>
    <t>꺽</t>
  </si>
  <si>
    <t>꺾</t>
  </si>
  <si>
    <t>껀</t>
  </si>
  <si>
    <t>껄</t>
  </si>
  <si>
    <t>껌</t>
  </si>
  <si>
    <t>껍</t>
  </si>
  <si>
    <t>껏</t>
  </si>
  <si>
    <t>껐</t>
  </si>
  <si>
    <t>껑</t>
  </si>
  <si>
    <t>께</t>
  </si>
  <si>
    <t>껙</t>
  </si>
  <si>
    <t>껜</t>
  </si>
  <si>
    <t>껨</t>
  </si>
  <si>
    <t>껫</t>
  </si>
  <si>
    <t>껭</t>
  </si>
  <si>
    <t>껴</t>
  </si>
  <si>
    <t>껸</t>
  </si>
  <si>
    <t>껼</t>
  </si>
  <si>
    <t>꼇</t>
  </si>
  <si>
    <t>꼈</t>
  </si>
  <si>
    <t>꼍</t>
  </si>
  <si>
    <t>꼐</t>
  </si>
  <si>
    <t>꼬</t>
  </si>
  <si>
    <t>{PP}</t>
  </si>
  <si>
    <t>Used to display the various "PP" characters for different languages. Should be taken care of internally.</t>
  </si>
  <si>
    <t>꼭</t>
  </si>
  <si>
    <t>꼰</t>
  </si>
  <si>
    <t>꼲</t>
  </si>
  <si>
    <t>꼴</t>
  </si>
  <si>
    <t>꼼</t>
  </si>
  <si>
    <t>꼽</t>
  </si>
  <si>
    <t>꼿</t>
  </si>
  <si>
    <t>꽁</t>
  </si>
  <si>
    <t>꽂</t>
  </si>
  <si>
    <t>꽃</t>
  </si>
  <si>
    <t>꽈</t>
  </si>
  <si>
    <t>꽉</t>
  </si>
  <si>
    <t>꽐</t>
  </si>
  <si>
    <t>꽜</t>
  </si>
  <si>
    <t>꽝</t>
  </si>
  <si>
    <t>꽤</t>
  </si>
  <si>
    <t>꽥</t>
  </si>
  <si>
    <t>꽹</t>
  </si>
  <si>
    <t>꾀</t>
  </si>
  <si>
    <t>꾄</t>
  </si>
  <si>
    <t>꾈</t>
  </si>
  <si>
    <t>꾐</t>
  </si>
  <si>
    <t>꾑</t>
  </si>
  <si>
    <t>꾕</t>
  </si>
  <si>
    <t>꾜</t>
  </si>
  <si>
    <t>꾸</t>
  </si>
  <si>
    <t>꾹</t>
  </si>
  <si>
    <t>꾼</t>
  </si>
  <si>
    <t>꿀</t>
  </si>
  <si>
    <t>꿇</t>
  </si>
  <si>
    <t>꿈</t>
  </si>
  <si>
    <t>꿉</t>
  </si>
  <si>
    <t>{NO}</t>
  </si>
  <si>
    <t>Used to display the various "No." characters for different languages. Should be taken care of internally.</t>
  </si>
  <si>
    <t>꿋</t>
  </si>
  <si>
    <t>꿍</t>
  </si>
  <si>
    <t>꿎</t>
  </si>
  <si>
    <t>꿔</t>
  </si>
  <si>
    <t>꿜</t>
  </si>
  <si>
    <t>꿨</t>
  </si>
  <si>
    <t>꿩</t>
  </si>
  <si>
    <t>꿰</t>
  </si>
  <si>
    <t>꿱</t>
  </si>
  <si>
    <t>꿴</t>
  </si>
  <si>
    <t>꿸</t>
  </si>
  <si>
    <t>뀀</t>
  </si>
  <si>
    <t>뀁</t>
  </si>
  <si>
    <t>뀄</t>
  </si>
  <si>
    <t>뀌</t>
  </si>
  <si>
    <t>뀐</t>
  </si>
  <si>
    <t>뀔</t>
  </si>
  <si>
    <t>뀜</t>
  </si>
  <si>
    <t>뀝</t>
  </si>
  <si>
    <t>뀨</t>
  </si>
  <si>
    <t>끄</t>
  </si>
  <si>
    <t>끅</t>
  </si>
  <si>
    <t>끈</t>
  </si>
  <si>
    <t>끊</t>
  </si>
  <si>
    <t>끌</t>
  </si>
  <si>
    <t>끎</t>
  </si>
  <si>
    <t>끓</t>
  </si>
  <si>
    <t>끔</t>
  </si>
  <si>
    <t>끕</t>
  </si>
  <si>
    <t>끗</t>
  </si>
  <si>
    <t>끙</t>
  </si>
  <si>
    <t>끝</t>
  </si>
  <si>
    <t>끼</t>
  </si>
  <si>
    <t>끽</t>
  </si>
  <si>
    <t>낀</t>
  </si>
  <si>
    <t>낄</t>
  </si>
  <si>
    <t>낌</t>
  </si>
  <si>
    <t>낍</t>
  </si>
  <si>
    <t>낏</t>
  </si>
  <si>
    <t>낑</t>
  </si>
  <si>
    <t>나</t>
  </si>
  <si>
    <t>낙</t>
  </si>
  <si>
    <t>낚</t>
  </si>
  <si>
    <t>난</t>
  </si>
  <si>
    <t>낟</t>
  </si>
  <si>
    <t>날</t>
  </si>
  <si>
    <t>낡</t>
  </si>
  <si>
    <t>낢</t>
  </si>
  <si>
    <t>남</t>
  </si>
  <si>
    <t>납</t>
  </si>
  <si>
    <t>낫</t>
  </si>
  <si>
    <t>났</t>
  </si>
  <si>
    <t>낭</t>
  </si>
  <si>
    <t>낮</t>
  </si>
  <si>
    <t>낯</t>
  </si>
  <si>
    <t>낱</t>
  </si>
  <si>
    <t>낳</t>
  </si>
  <si>
    <t>내</t>
  </si>
  <si>
    <t>낵</t>
  </si>
  <si>
    <t>낸</t>
  </si>
  <si>
    <t>낼</t>
  </si>
  <si>
    <t>냄</t>
  </si>
  <si>
    <t>ɑ</t>
  </si>
  <si>
    <t>{CTR}</t>
  </si>
  <si>
    <t>Sets if the current line should be centered or not. A newline will be written after the closing center</t>
  </si>
  <si>
    <t>Ω</t>
  </si>
  <si>
    <t>{nCTR}</t>
  </si>
  <si>
    <t>냅</t>
  </si>
  <si>
    <t>냇</t>
  </si>
  <si>
    <t>냈</t>
  </si>
  <si>
    <t>냉</t>
  </si>
  <si>
    <t>냐</t>
  </si>
  <si>
    <t>냑</t>
  </si>
  <si>
    <t>냔</t>
  </si>
  <si>
    <t>냘</t>
  </si>
  <si>
    <t>냠</t>
  </si>
  <si>
    <t>냥</t>
  </si>
  <si>
    <t>너</t>
  </si>
  <si>
    <t>넉</t>
  </si>
  <si>
    <t>넋</t>
  </si>
  <si>
    <t>넌</t>
  </si>
  <si>
    <t>널</t>
  </si>
  <si>
    <t>넒</t>
  </si>
  <si>
    <t>{SPA}[X]</t>
  </si>
  <si>
    <t>Adds a space of X pixels</t>
  </si>
  <si>
    <t>넓</t>
  </si>
  <si>
    <t>넘</t>
  </si>
  <si>
    <t>넙</t>
  </si>
  <si>
    <t>넛</t>
  </si>
  <si>
    <t>넜</t>
  </si>
  <si>
    <t>넝</t>
  </si>
  <si>
    <t>넣</t>
  </si>
  <si>
    <t>네</t>
  </si>
  <si>
    <t>넥</t>
  </si>
  <si>
    <t>넨</t>
  </si>
  <si>
    <t>넬</t>
  </si>
  <si>
    <t>넴</t>
  </si>
  <si>
    <t>넵</t>
  </si>
  <si>
    <t>넷</t>
  </si>
  <si>
    <t>넸</t>
  </si>
  <si>
    <t>넹</t>
  </si>
  <si>
    <t>녀</t>
  </si>
  <si>
    <t>녁</t>
  </si>
  <si>
    <t>년</t>
  </si>
  <si>
    <t>녈</t>
  </si>
  <si>
    <t>념</t>
  </si>
  <si>
    <t>녑</t>
  </si>
  <si>
    <t>녔</t>
  </si>
  <si>
    <t>녕</t>
  </si>
  <si>
    <t>녘</t>
  </si>
  <si>
    <t>녜</t>
  </si>
  <si>
    <t>녠</t>
  </si>
  <si>
    <t>노</t>
  </si>
  <si>
    <t>녹</t>
  </si>
  <si>
    <t>논</t>
  </si>
  <si>
    <t>놀</t>
  </si>
  <si>
    <t>놂</t>
  </si>
  <si>
    <t>놈</t>
  </si>
  <si>
    <t>놉</t>
  </si>
  <si>
    <t>놋</t>
  </si>
  <si>
    <t>농</t>
  </si>
  <si>
    <t>높</t>
  </si>
  <si>
    <t>놓</t>
  </si>
  <si>
    <t>놔</t>
  </si>
  <si>
    <t>놘</t>
  </si>
  <si>
    <t>놜</t>
  </si>
  <si>
    <t>놨</t>
  </si>
  <si>
    <t>뇌</t>
  </si>
  <si>
    <t>뇐</t>
  </si>
  <si>
    <t>뇔</t>
  </si>
  <si>
    <t>뇜</t>
  </si>
  <si>
    <t>뇝</t>
  </si>
  <si>
    <t>뇟</t>
  </si>
  <si>
    <t>뇨</t>
  </si>
  <si>
    <t>뇩</t>
  </si>
  <si>
    <t>뇬</t>
  </si>
  <si>
    <t>뇰</t>
  </si>
  <si>
    <t>뇹</t>
  </si>
  <si>
    <t>뇻</t>
  </si>
  <si>
    <t>뇽</t>
  </si>
  <si>
    <t>누</t>
  </si>
  <si>
    <t>눅</t>
  </si>
  <si>
    <t>눈</t>
  </si>
  <si>
    <t>눋</t>
  </si>
  <si>
    <t>눌</t>
  </si>
  <si>
    <t>눔</t>
  </si>
  <si>
    <t>눕</t>
  </si>
  <si>
    <t>눗</t>
  </si>
  <si>
    <t>눙</t>
  </si>
  <si>
    <t>눠</t>
  </si>
  <si>
    <t>눴</t>
  </si>
  <si>
    <t>눼</t>
  </si>
  <si>
    <t>뉘</t>
  </si>
  <si>
    <t>뉜</t>
  </si>
  <si>
    <t>뉠</t>
  </si>
  <si>
    <t>뉨</t>
  </si>
  <si>
    <t>뉩</t>
  </si>
  <si>
    <t>뉴</t>
  </si>
  <si>
    <t>뉵</t>
  </si>
  <si>
    <t>뉼</t>
  </si>
  <si>
    <t>늄</t>
  </si>
  <si>
    <t>늅</t>
  </si>
  <si>
    <t>늉</t>
  </si>
  <si>
    <t>느</t>
  </si>
  <si>
    <t>늑</t>
  </si>
  <si>
    <t>는</t>
  </si>
  <si>
    <t>늘</t>
  </si>
  <si>
    <t>늙</t>
  </si>
  <si>
    <t>늚</t>
  </si>
  <si>
    <t>늠</t>
  </si>
  <si>
    <t>늡</t>
  </si>
  <si>
    <t>늣</t>
  </si>
  <si>
    <t>능</t>
  </si>
  <si>
    <t>늦</t>
  </si>
  <si>
    <t>늪</t>
  </si>
  <si>
    <t>늬</t>
  </si>
  <si>
    <t>늰</t>
  </si>
  <si>
    <t>늴</t>
  </si>
  <si>
    <t>니</t>
  </si>
  <si>
    <t>닉</t>
  </si>
  <si>
    <t>닌</t>
  </si>
  <si>
    <t>닐</t>
  </si>
  <si>
    <t>닒</t>
  </si>
  <si>
    <t>님</t>
  </si>
  <si>
    <t>닙</t>
  </si>
  <si>
    <t>닛</t>
  </si>
  <si>
    <t>닝</t>
  </si>
  <si>
    <t>닢</t>
  </si>
  <si>
    <t>다</t>
  </si>
  <si>
    <t>닥</t>
  </si>
  <si>
    <t>닦</t>
  </si>
  <si>
    <t>단</t>
  </si>
  <si>
    <t>닫</t>
  </si>
  <si>
    <t>달</t>
  </si>
  <si>
    <t>닭</t>
  </si>
  <si>
    <t>닮</t>
  </si>
  <si>
    <t>닯</t>
  </si>
  <si>
    <t>닳</t>
  </si>
  <si>
    <t>담</t>
  </si>
  <si>
    <t>답</t>
  </si>
  <si>
    <t>닷</t>
  </si>
  <si>
    <t>닸</t>
  </si>
  <si>
    <t>당</t>
  </si>
  <si>
    <t>닺</t>
  </si>
  <si>
    <t>닻</t>
  </si>
  <si>
    <t>닿</t>
  </si>
  <si>
    <t>대</t>
  </si>
  <si>
    <t>댁</t>
  </si>
  <si>
    <t>댄</t>
  </si>
  <si>
    <t>댈</t>
  </si>
  <si>
    <t>댐</t>
  </si>
  <si>
    <t>댑</t>
  </si>
  <si>
    <t>댓</t>
  </si>
  <si>
    <t>댔</t>
  </si>
  <si>
    <t>댕</t>
  </si>
  <si>
    <t>더</t>
  </si>
  <si>
    <t>덕</t>
  </si>
  <si>
    <t>덖</t>
  </si>
  <si>
    <t>던</t>
  </si>
  <si>
    <t>덛</t>
  </si>
  <si>
    <t>덜</t>
  </si>
  <si>
    <t>덞</t>
  </si>
  <si>
    <t>덟</t>
  </si>
  <si>
    <t>덤</t>
  </si>
  <si>
    <t>덥</t>
  </si>
  <si>
    <t>덧</t>
  </si>
  <si>
    <t>덩</t>
  </si>
  <si>
    <t>덫</t>
  </si>
  <si>
    <t>덮</t>
  </si>
  <si>
    <t>데</t>
  </si>
  <si>
    <t>덱</t>
  </si>
  <si>
    <t>덴</t>
  </si>
  <si>
    <t>델</t>
  </si>
  <si>
    <t>뎀</t>
  </si>
  <si>
    <t>뎁</t>
  </si>
  <si>
    <t>뎃</t>
  </si>
  <si>
    <t>뎄</t>
  </si>
  <si>
    <t>뎅</t>
  </si>
  <si>
    <t>뎌</t>
  </si>
  <si>
    <t>뎐</t>
  </si>
  <si>
    <t>뎔</t>
  </si>
  <si>
    <t>뎠</t>
  </si>
  <si>
    <t>뎡</t>
  </si>
  <si>
    <t>뎨</t>
  </si>
  <si>
    <t>뎬</t>
  </si>
  <si>
    <t>도</t>
  </si>
  <si>
    <t>독</t>
  </si>
  <si>
    <t>돈</t>
  </si>
  <si>
    <t>돋</t>
  </si>
  <si>
    <t>돌</t>
  </si>
  <si>
    <t>돎</t>
  </si>
  <si>
    <t>돔</t>
  </si>
  <si>
    <t>돕</t>
  </si>
  <si>
    <t>돗</t>
  </si>
  <si>
    <t>동</t>
  </si>
  <si>
    <t>돛</t>
  </si>
  <si>
    <t>돝</t>
  </si>
  <si>
    <t>돠</t>
  </si>
  <si>
    <t>돤</t>
  </si>
  <si>
    <t>돨</t>
  </si>
  <si>
    <t>돼</t>
  </si>
  <si>
    <t>됐</t>
  </si>
  <si>
    <t>되</t>
  </si>
  <si>
    <t>된</t>
  </si>
  <si>
    <t>될</t>
  </si>
  <si>
    <t>됨</t>
  </si>
  <si>
    <t>됩</t>
  </si>
  <si>
    <t>됫</t>
  </si>
  <si>
    <t>됴</t>
  </si>
  <si>
    <t>두</t>
  </si>
  <si>
    <t>둑</t>
  </si>
  <si>
    <t>둔</t>
  </si>
  <si>
    <t>둘</t>
  </si>
  <si>
    <t>둠</t>
  </si>
  <si>
    <t>둡</t>
  </si>
  <si>
    <t>둣</t>
  </si>
  <si>
    <t>둥</t>
  </si>
  <si>
    <t>둬</t>
  </si>
  <si>
    <t>뒀</t>
  </si>
  <si>
    <t>뒈</t>
  </si>
  <si>
    <t>뒝</t>
  </si>
  <si>
    <t>뒤</t>
  </si>
  <si>
    <t>뒨</t>
  </si>
  <si>
    <t>뒬</t>
  </si>
  <si>
    <t>뒵</t>
  </si>
  <si>
    <t>뒷</t>
  </si>
  <si>
    <t>뒹</t>
  </si>
  <si>
    <t>듀</t>
  </si>
  <si>
    <t>듄</t>
  </si>
  <si>
    <t>듈</t>
  </si>
  <si>
    <t>듐</t>
  </si>
  <si>
    <t>듕</t>
  </si>
  <si>
    <t>드</t>
  </si>
  <si>
    <t>득</t>
  </si>
  <si>
    <t>든</t>
  </si>
  <si>
    <t>듣</t>
  </si>
  <si>
    <t>들</t>
  </si>
  <si>
    <t>듦</t>
  </si>
  <si>
    <t>듬</t>
  </si>
  <si>
    <t>듭</t>
  </si>
  <si>
    <t>듯</t>
  </si>
  <si>
    <t>등</t>
  </si>
  <si>
    <t>듸</t>
  </si>
  <si>
    <t>디</t>
  </si>
  <si>
    <t>딕</t>
  </si>
  <si>
    <t>딘</t>
  </si>
  <si>
    <t>딛</t>
  </si>
  <si>
    <t>딜</t>
  </si>
  <si>
    <t>딤</t>
  </si>
  <si>
    <t>딥</t>
  </si>
  <si>
    <t>딧</t>
  </si>
  <si>
    <t>딨</t>
  </si>
  <si>
    <t>딩</t>
  </si>
  <si>
    <t>딪</t>
  </si>
  <si>
    <t>따</t>
  </si>
  <si>
    <t>딱</t>
  </si>
  <si>
    <t>딴</t>
  </si>
  <si>
    <t>딸</t>
  </si>
  <si>
    <t>땀</t>
  </si>
  <si>
    <t>땁</t>
  </si>
  <si>
    <t>땃</t>
  </si>
  <si>
    <t>땄</t>
  </si>
  <si>
    <t>땅</t>
  </si>
  <si>
    <t>땋</t>
  </si>
  <si>
    <t>때</t>
  </si>
  <si>
    <t>땍</t>
  </si>
  <si>
    <t>땐</t>
  </si>
  <si>
    <t>땔</t>
  </si>
  <si>
    <t>땜</t>
  </si>
  <si>
    <t>땝</t>
  </si>
  <si>
    <t>땟</t>
  </si>
  <si>
    <t>땠</t>
  </si>
  <si>
    <t>땡</t>
  </si>
  <si>
    <t>떠</t>
  </si>
  <si>
    <t>떡</t>
  </si>
  <si>
    <t>떤</t>
  </si>
  <si>
    <t>떨</t>
  </si>
  <si>
    <t>떪</t>
  </si>
  <si>
    <t>떫</t>
  </si>
  <si>
    <t>떰</t>
  </si>
  <si>
    <t>떱</t>
  </si>
  <si>
    <t>떳</t>
  </si>
  <si>
    <t>떴</t>
  </si>
  <si>
    <t>떵</t>
  </si>
  <si>
    <t>떻</t>
  </si>
  <si>
    <t>떼</t>
  </si>
  <si>
    <t>떽</t>
  </si>
  <si>
    <t>뗀</t>
  </si>
  <si>
    <t>뗄</t>
  </si>
  <si>
    <t>뗌</t>
  </si>
  <si>
    <t>뗍</t>
  </si>
  <si>
    <t>뗏</t>
  </si>
  <si>
    <t>뗐</t>
  </si>
  <si>
    <t>뗑</t>
  </si>
  <si>
    <t>뗘</t>
  </si>
  <si>
    <t>뗬</t>
  </si>
  <si>
    <t>또</t>
  </si>
  <si>
    <t>똑</t>
  </si>
  <si>
    <t>똔</t>
  </si>
  <si>
    <t>똘</t>
  </si>
  <si>
    <t>똥</t>
  </si>
  <si>
    <t>똬</t>
  </si>
  <si>
    <t>똴</t>
  </si>
  <si>
    <t>뙈</t>
  </si>
  <si>
    <t>뙤</t>
  </si>
  <si>
    <t>뙨</t>
  </si>
  <si>
    <t>뚜</t>
  </si>
  <si>
    <t>뚝</t>
  </si>
  <si>
    <t>뚠</t>
  </si>
  <si>
    <t>뚤</t>
  </si>
  <si>
    <t>뚫</t>
  </si>
  <si>
    <t>뚬</t>
  </si>
  <si>
    <t>뚱</t>
  </si>
  <si>
    <t>뛔</t>
  </si>
  <si>
    <t>뛰</t>
  </si>
  <si>
    <t>뛴</t>
  </si>
  <si>
    <t>뛸</t>
  </si>
  <si>
    <t>뜀</t>
  </si>
  <si>
    <t>뜁</t>
  </si>
  <si>
    <t>뜅</t>
  </si>
  <si>
    <t>뜨</t>
  </si>
  <si>
    <t>뜩</t>
  </si>
  <si>
    <t>뜬</t>
  </si>
  <si>
    <t>뜯</t>
  </si>
  <si>
    <t>뜰</t>
  </si>
  <si>
    <t>뜸</t>
  </si>
  <si>
    <t>뜹</t>
  </si>
  <si>
    <t>뜻</t>
  </si>
  <si>
    <t>띄</t>
  </si>
  <si>
    <t>띈</t>
  </si>
  <si>
    <t>띌</t>
  </si>
  <si>
    <t>띔</t>
  </si>
  <si>
    <t>띕</t>
  </si>
  <si>
    <t>띠</t>
  </si>
  <si>
    <t>띤</t>
  </si>
  <si>
    <t>띨</t>
  </si>
  <si>
    <t>띰</t>
  </si>
  <si>
    <t>띱</t>
  </si>
  <si>
    <t>띳</t>
  </si>
  <si>
    <t>띵</t>
  </si>
  <si>
    <t>라</t>
  </si>
  <si>
    <t>락</t>
  </si>
  <si>
    <t>란</t>
  </si>
  <si>
    <t>랄</t>
  </si>
  <si>
    <t>람</t>
  </si>
  <si>
    <t>랍</t>
  </si>
  <si>
    <t>랏</t>
  </si>
  <si>
    <t>랐</t>
  </si>
  <si>
    <t>랑</t>
  </si>
  <si>
    <t>랒</t>
  </si>
  <si>
    <t>랖</t>
  </si>
  <si>
    <t>랗</t>
  </si>
  <si>
    <t>뢔</t>
  </si>
  <si>
    <t>래</t>
  </si>
  <si>
    <t>랙</t>
  </si>
  <si>
    <t>랜</t>
  </si>
  <si>
    <t>랠</t>
  </si>
  <si>
    <t>램</t>
  </si>
  <si>
    <t>랩</t>
  </si>
  <si>
    <t>랫</t>
  </si>
  <si>
    <t>랬</t>
  </si>
  <si>
    <t>랭</t>
  </si>
  <si>
    <t>랴</t>
  </si>
  <si>
    <t>략</t>
  </si>
  <si>
    <t>랸</t>
  </si>
  <si>
    <t>럇</t>
  </si>
  <si>
    <t>량</t>
  </si>
  <si>
    <t>러</t>
  </si>
  <si>
    <t>럭</t>
  </si>
  <si>
    <t>런</t>
  </si>
  <si>
    <t>럴</t>
  </si>
  <si>
    <t>럼</t>
  </si>
  <si>
    <t>럽</t>
  </si>
  <si>
    <t>럿</t>
  </si>
  <si>
    <t>렀</t>
  </si>
  <si>
    <t>렁</t>
  </si>
  <si>
    <t>렇</t>
  </si>
  <si>
    <t>레</t>
  </si>
  <si>
    <t>렉</t>
  </si>
  <si>
    <t>렌</t>
  </si>
  <si>
    <t>렐</t>
  </si>
  <si>
    <t>렘</t>
  </si>
  <si>
    <t>렙</t>
  </si>
  <si>
    <t>렛</t>
  </si>
  <si>
    <t>렝</t>
  </si>
  <si>
    <t>려</t>
  </si>
  <si>
    <t>력</t>
  </si>
  <si>
    <t>련</t>
  </si>
  <si>
    <t>렬</t>
  </si>
  <si>
    <t>렴</t>
  </si>
  <si>
    <t>렵</t>
  </si>
  <si>
    <t>렷</t>
  </si>
  <si>
    <t>렸</t>
  </si>
  <si>
    <t>령</t>
  </si>
  <si>
    <t>례</t>
  </si>
  <si>
    <t>롄</t>
  </si>
  <si>
    <t>롑</t>
  </si>
  <si>
    <t>롓</t>
  </si>
  <si>
    <t>로</t>
  </si>
  <si>
    <t>록</t>
  </si>
  <si>
    <t>론</t>
  </si>
  <si>
    <t>롤</t>
  </si>
  <si>
    <t>롬</t>
  </si>
  <si>
    <t>롭</t>
  </si>
  <si>
    <t>롯</t>
  </si>
  <si>
    <t>롱</t>
  </si>
  <si>
    <t>롸</t>
  </si>
  <si>
    <t>롼</t>
  </si>
  <si>
    <t>뢍</t>
  </si>
  <si>
    <t>뢨</t>
  </si>
  <si>
    <t>뢰</t>
  </si>
  <si>
    <t>뢴</t>
  </si>
  <si>
    <t>뢸</t>
  </si>
  <si>
    <t>룀</t>
  </si>
  <si>
    <t>룁</t>
  </si>
  <si>
    <t>룃</t>
  </si>
  <si>
    <t>룅</t>
  </si>
  <si>
    <t>료</t>
  </si>
  <si>
    <t>룐</t>
  </si>
  <si>
    <t>룔</t>
  </si>
  <si>
    <t>룝</t>
  </si>
  <si>
    <t>룟</t>
  </si>
  <si>
    <t>룡</t>
  </si>
  <si>
    <t>루</t>
  </si>
  <si>
    <t>룩</t>
  </si>
  <si>
    <t>룬</t>
  </si>
  <si>
    <t>룰</t>
  </si>
  <si>
    <t>룸</t>
  </si>
  <si>
    <t>룹</t>
  </si>
  <si>
    <t>룻</t>
  </si>
  <si>
    <t>룽</t>
  </si>
  <si>
    <t>뤄</t>
  </si>
  <si>
    <t>뤘</t>
  </si>
  <si>
    <t>뤠</t>
  </si>
  <si>
    <t>뤼</t>
  </si>
  <si>
    <t>뤽</t>
  </si>
  <si>
    <t>륀</t>
  </si>
  <si>
    <t>륄</t>
  </si>
  <si>
    <t>륌</t>
  </si>
  <si>
    <t>륏</t>
  </si>
  <si>
    <t>륑</t>
  </si>
  <si>
    <t>류</t>
  </si>
  <si>
    <t>륙</t>
  </si>
  <si>
    <t>륜</t>
  </si>
  <si>
    <t>률</t>
  </si>
  <si>
    <t>륨</t>
  </si>
  <si>
    <t>륩</t>
  </si>
  <si>
    <t>륫</t>
  </si>
  <si>
    <t>륭</t>
  </si>
  <si>
    <t>르</t>
  </si>
  <si>
    <t>륵</t>
  </si>
  <si>
    <t>른</t>
  </si>
  <si>
    <t>를</t>
  </si>
  <si>
    <t>름</t>
  </si>
  <si>
    <t>릅</t>
  </si>
  <si>
    <t>릇</t>
  </si>
  <si>
    <t>릉</t>
  </si>
  <si>
    <t>릊</t>
  </si>
  <si>
    <t>릍</t>
  </si>
  <si>
    <t>릎</t>
  </si>
  <si>
    <t>리</t>
  </si>
  <si>
    <t>릭</t>
  </si>
  <si>
    <t>린</t>
  </si>
  <si>
    <t>릴</t>
  </si>
  <si>
    <t>림</t>
  </si>
  <si>
    <t>립</t>
  </si>
  <si>
    <t>릿</t>
  </si>
  <si>
    <t>링</t>
  </si>
  <si>
    <t>마</t>
  </si>
  <si>
    <t>막</t>
  </si>
  <si>
    <t>만</t>
  </si>
  <si>
    <t>많</t>
  </si>
  <si>
    <t>맏</t>
  </si>
  <si>
    <t>말</t>
  </si>
  <si>
    <t>맑</t>
  </si>
  <si>
    <t>맒</t>
  </si>
  <si>
    <t>맘</t>
  </si>
  <si>
    <t>맙</t>
  </si>
  <si>
    <t>맛</t>
  </si>
  <si>
    <t>망</t>
  </si>
  <si>
    <t>맞</t>
  </si>
  <si>
    <t>맡</t>
  </si>
  <si>
    <t>맣</t>
  </si>
  <si>
    <t>매</t>
  </si>
  <si>
    <t>맥</t>
  </si>
  <si>
    <t>맨</t>
  </si>
  <si>
    <t>맬</t>
  </si>
  <si>
    <t>맴</t>
  </si>
  <si>
    <t>맵</t>
  </si>
  <si>
    <t>맷</t>
  </si>
  <si>
    <t>맸</t>
  </si>
  <si>
    <t>맹</t>
  </si>
  <si>
    <t>맺</t>
  </si>
  <si>
    <t>먀</t>
  </si>
  <si>
    <t>먁</t>
  </si>
  <si>
    <t>먈</t>
  </si>
  <si>
    <t>먕</t>
  </si>
  <si>
    <t>머</t>
  </si>
  <si>
    <t>먹</t>
  </si>
  <si>
    <t>먼</t>
  </si>
  <si>
    <t>멀</t>
  </si>
  <si>
    <t>멂</t>
  </si>
  <si>
    <t>멈</t>
  </si>
  <si>
    <t>멉</t>
  </si>
  <si>
    <t>멋</t>
  </si>
  <si>
    <t>멍</t>
  </si>
  <si>
    <t>멎</t>
  </si>
  <si>
    <t>멓</t>
  </si>
  <si>
    <t>메</t>
  </si>
  <si>
    <t>멕</t>
  </si>
  <si>
    <t>멘</t>
  </si>
  <si>
    <t>멜</t>
  </si>
  <si>
    <t>멤</t>
  </si>
  <si>
    <t>멥</t>
  </si>
  <si>
    <t>멧</t>
  </si>
  <si>
    <t>멨</t>
  </si>
  <si>
    <t>멩</t>
  </si>
  <si>
    <t>며</t>
  </si>
  <si>
    <t>멱</t>
  </si>
  <si>
    <t>면</t>
  </si>
  <si>
    <t>멸</t>
  </si>
  <si>
    <t>몃</t>
  </si>
  <si>
    <t>몄</t>
  </si>
  <si>
    <t>명</t>
  </si>
  <si>
    <t>몇</t>
  </si>
  <si>
    <t>몌</t>
  </si>
  <si>
    <t>모</t>
  </si>
  <si>
    <t>목</t>
  </si>
  <si>
    <t>몫</t>
  </si>
  <si>
    <t>몬</t>
  </si>
  <si>
    <t>몰</t>
  </si>
  <si>
    <t>몲</t>
  </si>
  <si>
    <t>몸</t>
  </si>
  <si>
    <t>몹</t>
  </si>
  <si>
    <t>못</t>
  </si>
  <si>
    <t>몽</t>
  </si>
  <si>
    <t>뫄</t>
  </si>
  <si>
    <t>뫈</t>
  </si>
  <si>
    <t>뫘</t>
  </si>
  <si>
    <t>뫙</t>
  </si>
  <si>
    <t>뫼</t>
  </si>
  <si>
    <t>묀</t>
  </si>
  <si>
    <t>묄</t>
  </si>
  <si>
    <t>묍</t>
  </si>
  <si>
    <t>묏</t>
  </si>
  <si>
    <t>묑</t>
  </si>
  <si>
    <t>묘</t>
  </si>
  <si>
    <t>묜</t>
  </si>
  <si>
    <t>묠</t>
  </si>
  <si>
    <t>묩</t>
  </si>
  <si>
    <t>묫</t>
  </si>
  <si>
    <t>무</t>
  </si>
  <si>
    <t>묵</t>
  </si>
  <si>
    <t>묶</t>
  </si>
  <si>
    <t>문</t>
  </si>
  <si>
    <t>묻</t>
  </si>
  <si>
    <t>물</t>
  </si>
  <si>
    <t>묽</t>
  </si>
  <si>
    <t>묾</t>
  </si>
  <si>
    <t>뭄</t>
  </si>
  <si>
    <t>뭅</t>
  </si>
  <si>
    <t>뭇</t>
  </si>
  <si>
    <t>뭉</t>
  </si>
  <si>
    <t>뭍</t>
  </si>
  <si>
    <t>뭏</t>
  </si>
  <si>
    <t>뭐</t>
  </si>
  <si>
    <t>뭔</t>
  </si>
  <si>
    <t>뭘</t>
  </si>
  <si>
    <t>뭡</t>
  </si>
  <si>
    <t>뭣</t>
  </si>
  <si>
    <t>뭬</t>
  </si>
  <si>
    <t>뮈</t>
  </si>
  <si>
    <t>뮌</t>
  </si>
  <si>
    <t>뮐</t>
  </si>
  <si>
    <t>뮨</t>
  </si>
  <si>
    <t>뮬</t>
  </si>
  <si>
    <t>뮴</t>
  </si>
  <si>
    <t>뮷</t>
  </si>
  <si>
    <t>므</t>
  </si>
  <si>
    <t>믄</t>
  </si>
  <si>
    <t>믈</t>
  </si>
  <si>
    <t>믐</t>
  </si>
  <si>
    <t>믓</t>
  </si>
  <si>
    <t>미</t>
  </si>
  <si>
    <t>믹</t>
  </si>
  <si>
    <t>민</t>
  </si>
  <si>
    <t>믿</t>
  </si>
  <si>
    <t>밀</t>
  </si>
  <si>
    <t>밂</t>
  </si>
  <si>
    <t>밈</t>
  </si>
  <si>
    <t>밉</t>
  </si>
  <si>
    <t>밋</t>
  </si>
  <si>
    <t>밌</t>
  </si>
  <si>
    <t>밍</t>
  </si>
  <si>
    <t>및</t>
  </si>
  <si>
    <t>밑</t>
  </si>
  <si>
    <t>바</t>
  </si>
  <si>
    <t>박</t>
  </si>
  <si>
    <t>밖</t>
  </si>
  <si>
    <t>밗</t>
  </si>
  <si>
    <t>반</t>
  </si>
  <si>
    <t>받</t>
  </si>
  <si>
    <t>발</t>
  </si>
  <si>
    <t>밝</t>
  </si>
  <si>
    <t>밞</t>
  </si>
  <si>
    <t>밟</t>
  </si>
  <si>
    <t>밤</t>
  </si>
  <si>
    <t>밥</t>
  </si>
  <si>
    <t>밧</t>
  </si>
  <si>
    <t>방</t>
  </si>
  <si>
    <t>밭</t>
  </si>
  <si>
    <t>배</t>
  </si>
  <si>
    <t>백</t>
  </si>
  <si>
    <t>밴</t>
  </si>
  <si>
    <t>밸</t>
  </si>
  <si>
    <t>뱀</t>
  </si>
  <si>
    <t>뱁</t>
  </si>
  <si>
    <t>뱃</t>
  </si>
  <si>
    <t>뱄</t>
  </si>
  <si>
    <t>뱅</t>
  </si>
  <si>
    <t>뱉</t>
  </si>
  <si>
    <t>뱌</t>
  </si>
  <si>
    <t>뱍</t>
  </si>
  <si>
    <t>뱐</t>
  </si>
  <si>
    <t>뱝</t>
  </si>
  <si>
    <t>버</t>
  </si>
  <si>
    <t>벅</t>
  </si>
  <si>
    <t>번</t>
  </si>
  <si>
    <t>벋</t>
  </si>
  <si>
    <t>벌</t>
  </si>
  <si>
    <t>벎</t>
  </si>
  <si>
    <t>범</t>
  </si>
  <si>
    <t>법</t>
  </si>
  <si>
    <t>벗</t>
  </si>
  <si>
    <t>벙</t>
  </si>
  <si>
    <t>벚</t>
  </si>
  <si>
    <t>베</t>
  </si>
  <si>
    <t>벡</t>
  </si>
  <si>
    <t>벤</t>
  </si>
  <si>
    <t>벧</t>
  </si>
  <si>
    <t>벨</t>
  </si>
  <si>
    <t>벰</t>
  </si>
  <si>
    <t>벱</t>
  </si>
  <si>
    <t>벳</t>
  </si>
  <si>
    <t>벴</t>
  </si>
  <si>
    <t>벵</t>
  </si>
  <si>
    <t>벼</t>
  </si>
  <si>
    <t>벽</t>
  </si>
  <si>
    <t>변</t>
  </si>
  <si>
    <t>별</t>
  </si>
  <si>
    <t>볍</t>
  </si>
  <si>
    <t>볏</t>
  </si>
  <si>
    <t>볐</t>
  </si>
  <si>
    <t>병</t>
  </si>
  <si>
    <t>볕</t>
  </si>
  <si>
    <t>볘</t>
  </si>
  <si>
    <t>볜</t>
  </si>
  <si>
    <t>보</t>
  </si>
  <si>
    <t>복</t>
  </si>
  <si>
    <t>볶</t>
  </si>
  <si>
    <t>본</t>
  </si>
  <si>
    <t>볼</t>
  </si>
  <si>
    <t>봄</t>
  </si>
  <si>
    <t>봅</t>
  </si>
  <si>
    <t>봇</t>
  </si>
  <si>
    <t>봉</t>
  </si>
  <si>
    <t>봐</t>
  </si>
  <si>
    <t>봔</t>
  </si>
  <si>
    <t>봤</t>
  </si>
  <si>
    <t>봬</t>
  </si>
  <si>
    <t>뵀</t>
  </si>
  <si>
    <t>뵈</t>
  </si>
  <si>
    <t>뵉</t>
  </si>
  <si>
    <t>뵌</t>
  </si>
  <si>
    <t>뵐</t>
  </si>
  <si>
    <t>뵘</t>
  </si>
  <si>
    <t>뵙</t>
  </si>
  <si>
    <t>뵤</t>
  </si>
  <si>
    <t>뵨</t>
  </si>
  <si>
    <t>부</t>
  </si>
  <si>
    <t>북</t>
  </si>
  <si>
    <t>분</t>
  </si>
  <si>
    <t>붇</t>
  </si>
  <si>
    <t>불</t>
  </si>
  <si>
    <t>붉</t>
  </si>
  <si>
    <t>붊</t>
  </si>
  <si>
    <t>붐</t>
  </si>
  <si>
    <t>붑</t>
  </si>
  <si>
    <t>붓</t>
  </si>
  <si>
    <t>붕</t>
  </si>
  <si>
    <t>붙</t>
  </si>
  <si>
    <t>붚</t>
  </si>
  <si>
    <t>붜</t>
  </si>
  <si>
    <t>붤</t>
  </si>
  <si>
    <t>붰</t>
  </si>
  <si>
    <t>붸</t>
  </si>
  <si>
    <t>뷔</t>
  </si>
  <si>
    <t>뷕</t>
  </si>
  <si>
    <t>뷘</t>
  </si>
  <si>
    <t>뷜</t>
  </si>
  <si>
    <t>뷩</t>
  </si>
  <si>
    <t>뷰</t>
  </si>
  <si>
    <t>뷴</t>
  </si>
  <si>
    <t>뷸</t>
  </si>
  <si>
    <t>븀</t>
  </si>
  <si>
    <t>븃</t>
  </si>
  <si>
    <t>븅</t>
  </si>
  <si>
    <t>브</t>
  </si>
  <si>
    <t>븍</t>
  </si>
  <si>
    <t>븐</t>
  </si>
  <si>
    <t>블</t>
  </si>
  <si>
    <t>븜</t>
  </si>
  <si>
    <t>븝</t>
  </si>
  <si>
    <t>븟</t>
  </si>
  <si>
    <t>비</t>
  </si>
  <si>
    <t>빅</t>
  </si>
  <si>
    <t>빈</t>
  </si>
  <si>
    <t>빌</t>
  </si>
  <si>
    <t>빎</t>
  </si>
  <si>
    <t>빔</t>
  </si>
  <si>
    <t>빕</t>
  </si>
  <si>
    <t>빗</t>
  </si>
  <si>
    <t>빙</t>
  </si>
  <si>
    <t>빚</t>
  </si>
  <si>
    <t>빛</t>
  </si>
  <si>
    <t>빠</t>
  </si>
  <si>
    <t>빡</t>
  </si>
  <si>
    <t>빤</t>
  </si>
  <si>
    <t>빨</t>
  </si>
  <si>
    <t>빪</t>
  </si>
  <si>
    <t>빰</t>
  </si>
  <si>
    <t>빱</t>
  </si>
  <si>
    <t>빳</t>
  </si>
  <si>
    <t>빴</t>
  </si>
  <si>
    <t>빵</t>
  </si>
  <si>
    <t>빻</t>
  </si>
  <si>
    <t>빼</t>
  </si>
  <si>
    <t>빽</t>
  </si>
  <si>
    <t>뺀</t>
  </si>
  <si>
    <t>뺄</t>
  </si>
  <si>
    <t>뺌</t>
  </si>
  <si>
    <t>뺍</t>
  </si>
  <si>
    <t>뺏</t>
  </si>
  <si>
    <t>뺐</t>
  </si>
  <si>
    <t>뺑</t>
  </si>
  <si>
    <t>뺘</t>
  </si>
  <si>
    <t>뺙</t>
  </si>
  <si>
    <t>뺨</t>
  </si>
  <si>
    <t>뻐</t>
  </si>
  <si>
    <t>뻑</t>
  </si>
  <si>
    <t>뻔</t>
  </si>
  <si>
    <t>뻗</t>
  </si>
  <si>
    <t>뻘</t>
  </si>
  <si>
    <t>뻠</t>
  </si>
  <si>
    <t>뻣</t>
  </si>
  <si>
    <t>뻤</t>
  </si>
  <si>
    <t>뻥</t>
  </si>
  <si>
    <t>뻬</t>
  </si>
  <si>
    <t>뼁</t>
  </si>
  <si>
    <t>뼈</t>
  </si>
  <si>
    <t>뼉</t>
  </si>
  <si>
    <t>뼘</t>
  </si>
  <si>
    <t>뼙</t>
  </si>
  <si>
    <t>뼛</t>
  </si>
  <si>
    <t>뼜</t>
  </si>
  <si>
    <t>뼝</t>
  </si>
  <si>
    <t>뽀</t>
  </si>
  <si>
    <t>뽁</t>
  </si>
  <si>
    <t>뽄</t>
  </si>
  <si>
    <t>뽈</t>
  </si>
  <si>
    <t>뽐</t>
  </si>
  <si>
    <t>뽑</t>
  </si>
  <si>
    <t>뽕</t>
  </si>
  <si>
    <t>뾔</t>
  </si>
  <si>
    <t>뾰</t>
  </si>
  <si>
    <t>뿅</t>
  </si>
  <si>
    <t>뿌</t>
  </si>
  <si>
    <t>뿍</t>
  </si>
  <si>
    <t>뿐</t>
  </si>
  <si>
    <t>뿔</t>
  </si>
  <si>
    <t>뿜</t>
  </si>
  <si>
    <t>뿟</t>
  </si>
  <si>
    <t>뿡</t>
  </si>
  <si>
    <t>쀼</t>
  </si>
  <si>
    <t>쁑</t>
  </si>
  <si>
    <t>쁘</t>
  </si>
  <si>
    <t>쁜</t>
  </si>
  <si>
    <t>쁠</t>
  </si>
  <si>
    <t>쁨</t>
  </si>
  <si>
    <t>쁩</t>
  </si>
  <si>
    <t>삑</t>
  </si>
  <si>
    <t>삔</t>
  </si>
  <si>
    <t>삘</t>
  </si>
  <si>
    <t>삠</t>
  </si>
  <si>
    <t>삡</t>
  </si>
  <si>
    <t>삣</t>
  </si>
  <si>
    <t>삥</t>
  </si>
  <si>
    <t>사</t>
  </si>
  <si>
    <t>삭</t>
  </si>
  <si>
    <t>삯</t>
  </si>
  <si>
    <t>산</t>
  </si>
  <si>
    <t>삳</t>
  </si>
  <si>
    <t>살</t>
  </si>
  <si>
    <t>삵</t>
  </si>
  <si>
    <t>삶</t>
  </si>
  <si>
    <t>삼</t>
  </si>
  <si>
    <t>삽</t>
  </si>
  <si>
    <t>삿</t>
  </si>
  <si>
    <t>샀</t>
  </si>
  <si>
    <t>상</t>
  </si>
  <si>
    <t>샅</t>
  </si>
  <si>
    <t>새</t>
  </si>
  <si>
    <t>색</t>
  </si>
  <si>
    <t>샌</t>
  </si>
  <si>
    <t>샐</t>
  </si>
  <si>
    <t>샘</t>
  </si>
  <si>
    <t>샙</t>
  </si>
  <si>
    <t>샛</t>
  </si>
  <si>
    <t>샜</t>
  </si>
  <si>
    <t>생</t>
  </si>
  <si>
    <t>샤</t>
  </si>
  <si>
    <t>샥</t>
  </si>
  <si>
    <t>샨</t>
  </si>
  <si>
    <t>샬</t>
  </si>
  <si>
    <t>샴</t>
  </si>
  <si>
    <t>샵</t>
  </si>
  <si>
    <t>샷</t>
  </si>
  <si>
    <t>샹</t>
  </si>
  <si>
    <t>섀</t>
  </si>
  <si>
    <t>섄</t>
  </si>
  <si>
    <t>섈</t>
  </si>
  <si>
    <t>섐</t>
  </si>
  <si>
    <t>섕</t>
  </si>
  <si>
    <t>서</t>
  </si>
  <si>
    <t>석</t>
  </si>
  <si>
    <t>섞</t>
  </si>
  <si>
    <t>섟</t>
  </si>
  <si>
    <t>선</t>
  </si>
  <si>
    <t>섣</t>
  </si>
  <si>
    <t>설</t>
  </si>
  <si>
    <t>섦</t>
  </si>
  <si>
    <t>섧</t>
  </si>
  <si>
    <t>섬</t>
  </si>
  <si>
    <t>섭</t>
  </si>
  <si>
    <t>섯</t>
  </si>
  <si>
    <t>섰</t>
  </si>
  <si>
    <t>성</t>
  </si>
  <si>
    <t>섶</t>
  </si>
  <si>
    <t>세</t>
  </si>
  <si>
    <t>섹</t>
  </si>
  <si>
    <t>센</t>
  </si>
  <si>
    <t>셀</t>
  </si>
  <si>
    <t>셈</t>
  </si>
  <si>
    <t>셉</t>
  </si>
  <si>
    <t>셋</t>
  </si>
  <si>
    <t>셌</t>
  </si>
  <si>
    <t>셍</t>
  </si>
  <si>
    <t>셔</t>
  </si>
  <si>
    <t>셕</t>
  </si>
  <si>
    <t>션</t>
  </si>
  <si>
    <t>셜</t>
  </si>
  <si>
    <t>셤</t>
  </si>
  <si>
    <t>셥</t>
  </si>
  <si>
    <t>셧</t>
  </si>
  <si>
    <t>셨</t>
  </si>
  <si>
    <t>셩</t>
  </si>
  <si>
    <t>셰</t>
  </si>
  <si>
    <t>셴</t>
  </si>
  <si>
    <t>셸</t>
  </si>
  <si>
    <t>솅</t>
  </si>
  <si>
    <t>소</t>
  </si>
  <si>
    <t>속</t>
  </si>
  <si>
    <t>솎</t>
  </si>
  <si>
    <t>손</t>
  </si>
  <si>
    <t>솔</t>
  </si>
  <si>
    <t>솖</t>
  </si>
  <si>
    <t>솜</t>
  </si>
  <si>
    <t>솝</t>
  </si>
  <si>
    <t>솟</t>
  </si>
  <si>
    <t>송</t>
  </si>
  <si>
    <t>솥</t>
  </si>
  <si>
    <t>솨</t>
  </si>
  <si>
    <t>솩</t>
  </si>
  <si>
    <t>솬</t>
  </si>
  <si>
    <t>솰</t>
  </si>
  <si>
    <t>솽</t>
  </si>
  <si>
    <t>쇄</t>
  </si>
  <si>
    <t>쇈</t>
  </si>
  <si>
    <t>쇌</t>
  </si>
  <si>
    <t>쇔</t>
  </si>
  <si>
    <t>쇗</t>
  </si>
  <si>
    <t>쇘</t>
  </si>
  <si>
    <t>쇠</t>
  </si>
  <si>
    <t>쇤</t>
  </si>
  <si>
    <t>쇨</t>
  </si>
  <si>
    <t>쇰</t>
  </si>
  <si>
    <t>쇱</t>
  </si>
  <si>
    <t>쇳</t>
  </si>
  <si>
    <t>쇼</t>
  </si>
  <si>
    <t>쇽</t>
  </si>
  <si>
    <t>숀</t>
  </si>
  <si>
    <t>숄</t>
  </si>
  <si>
    <t>숌</t>
  </si>
  <si>
    <t>숍</t>
  </si>
  <si>
    <t>숏</t>
  </si>
  <si>
    <t>숑</t>
  </si>
  <si>
    <t>수</t>
  </si>
  <si>
    <t>숙</t>
  </si>
  <si>
    <t>순</t>
  </si>
  <si>
    <t>숟</t>
  </si>
  <si>
    <t>술</t>
  </si>
  <si>
    <t>숨</t>
  </si>
  <si>
    <t>숩</t>
  </si>
  <si>
    <t>숫</t>
  </si>
  <si>
    <t>숭</t>
  </si>
  <si>
    <t>쌰</t>
  </si>
  <si>
    <t>쎼</t>
  </si>
  <si>
    <t>숯</t>
  </si>
  <si>
    <t>숱</t>
  </si>
  <si>
    <t>숲</t>
  </si>
  <si>
    <t>숴</t>
  </si>
  <si>
    <t>쉈</t>
  </si>
  <si>
    <t>쉐</t>
  </si>
  <si>
    <t>쉑</t>
  </si>
  <si>
    <t>쉔</t>
  </si>
  <si>
    <t>쉘</t>
  </si>
  <si>
    <t>쉠</t>
  </si>
  <si>
    <t>쉥</t>
  </si>
  <si>
    <t>쉬</t>
  </si>
  <si>
    <t>쉭</t>
  </si>
  <si>
    <t>쉰</t>
  </si>
  <si>
    <t>쉴</t>
  </si>
  <si>
    <t>쉼</t>
  </si>
  <si>
    <t>쉽</t>
  </si>
  <si>
    <t>쉿</t>
  </si>
  <si>
    <t>슁</t>
  </si>
  <si>
    <t>슈</t>
  </si>
  <si>
    <t>슉</t>
  </si>
  <si>
    <t>슐</t>
  </si>
  <si>
    <t>슘</t>
  </si>
  <si>
    <t>슛</t>
  </si>
  <si>
    <t>슝</t>
  </si>
  <si>
    <t>스</t>
  </si>
  <si>
    <t>슥</t>
  </si>
  <si>
    <t>슨</t>
  </si>
  <si>
    <t>슬</t>
  </si>
  <si>
    <t>슭</t>
  </si>
  <si>
    <t>슴</t>
  </si>
  <si>
    <t>습</t>
  </si>
  <si>
    <t>슷</t>
  </si>
  <si>
    <t>승</t>
  </si>
  <si>
    <t>시</t>
  </si>
  <si>
    <t>식</t>
  </si>
  <si>
    <t>신</t>
  </si>
  <si>
    <t>싣</t>
  </si>
  <si>
    <t>실</t>
  </si>
  <si>
    <t>싫</t>
  </si>
  <si>
    <t>심</t>
  </si>
  <si>
    <t>십</t>
  </si>
  <si>
    <t>싯</t>
  </si>
  <si>
    <t>싱</t>
  </si>
  <si>
    <t>싶</t>
  </si>
  <si>
    <t>싸</t>
  </si>
  <si>
    <t>싹</t>
  </si>
  <si>
    <t>싻</t>
  </si>
  <si>
    <t>싼</t>
  </si>
  <si>
    <t>쌀</t>
  </si>
  <si>
    <t>쌈</t>
  </si>
  <si>
    <t>쌉</t>
  </si>
  <si>
    <t>쌌</t>
  </si>
  <si>
    <t>쌍</t>
  </si>
  <si>
    <t>쌓</t>
  </si>
  <si>
    <t>쌔</t>
  </si>
  <si>
    <t>쌕</t>
  </si>
  <si>
    <t>쌘</t>
  </si>
  <si>
    <t>쌜</t>
  </si>
  <si>
    <t>쌤</t>
  </si>
  <si>
    <t>쌥</t>
  </si>
  <si>
    <t>쌨</t>
  </si>
  <si>
    <t>쌩</t>
  </si>
  <si>
    <t>썅</t>
  </si>
  <si>
    <t>써</t>
  </si>
  <si>
    <t>썩</t>
  </si>
  <si>
    <t>썬</t>
  </si>
  <si>
    <t>썰</t>
  </si>
  <si>
    <t>썲</t>
  </si>
  <si>
    <t>썸</t>
  </si>
  <si>
    <t>썹</t>
  </si>
  <si>
    <t>썼</t>
  </si>
  <si>
    <t>썽</t>
  </si>
  <si>
    <t>쎄</t>
  </si>
  <si>
    <t>쎈</t>
  </si>
  <si>
    <t>쎌</t>
  </si>
  <si>
    <t>쏀</t>
  </si>
  <si>
    <t>쏘</t>
  </si>
  <si>
    <t>쏙</t>
  </si>
  <si>
    <t>쏜</t>
  </si>
  <si>
    <t>쏟</t>
  </si>
  <si>
    <t>쏠</t>
  </si>
  <si>
    <t>쏢</t>
  </si>
  <si>
    <t>쏨</t>
  </si>
  <si>
    <t>쏩</t>
  </si>
  <si>
    <t>쏭</t>
  </si>
  <si>
    <t>쏴</t>
  </si>
  <si>
    <t>쏵</t>
  </si>
  <si>
    <t>쏸</t>
  </si>
  <si>
    <t>쐈</t>
  </si>
  <si>
    <t>쐐</t>
  </si>
  <si>
    <t>쐤</t>
  </si>
  <si>
    <t>쐬</t>
  </si>
  <si>
    <t>쐰</t>
  </si>
  <si>
    <t>쓔</t>
  </si>
  <si>
    <t>쐴</t>
  </si>
  <si>
    <t>쐼</t>
  </si>
  <si>
    <t>쐽</t>
  </si>
  <si>
    <t>쑈</t>
  </si>
  <si>
    <t>쑤</t>
  </si>
  <si>
    <t>쑥</t>
  </si>
  <si>
    <t>쑨</t>
  </si>
  <si>
    <t>쑬</t>
  </si>
  <si>
    <t>쑴</t>
  </si>
  <si>
    <t>쑵</t>
  </si>
  <si>
    <t>쑹</t>
  </si>
  <si>
    <t>쒀</t>
  </si>
  <si>
    <t>쒔</t>
  </si>
  <si>
    <t>쒜</t>
  </si>
  <si>
    <t>쒸</t>
  </si>
  <si>
    <t>쒼</t>
  </si>
  <si>
    <t>쓩</t>
  </si>
  <si>
    <t>쓰</t>
  </si>
  <si>
    <t>쓱</t>
  </si>
  <si>
    <t>쓴</t>
  </si>
  <si>
    <t>쓸</t>
  </si>
  <si>
    <t>쓺</t>
  </si>
  <si>
    <t>쓿</t>
  </si>
  <si>
    <t>씀</t>
  </si>
  <si>
    <t>씁</t>
  </si>
  <si>
    <t>씌</t>
  </si>
  <si>
    <t>씐</t>
  </si>
  <si>
    <t>씔</t>
  </si>
  <si>
    <t>씜</t>
  </si>
  <si>
    <t>씨</t>
  </si>
  <si>
    <t>씩</t>
  </si>
  <si>
    <t>씬</t>
  </si>
  <si>
    <t>씰</t>
  </si>
  <si>
    <t>씸</t>
  </si>
  <si>
    <t>씹</t>
  </si>
  <si>
    <t>씻</t>
  </si>
  <si>
    <t>씽</t>
  </si>
  <si>
    <t>아</t>
  </si>
  <si>
    <t>악</t>
  </si>
  <si>
    <t>안</t>
  </si>
  <si>
    <t>앉</t>
  </si>
  <si>
    <t>않</t>
  </si>
  <si>
    <t>알</t>
  </si>
  <si>
    <t>앍</t>
  </si>
  <si>
    <t>앎</t>
  </si>
  <si>
    <t>앓</t>
  </si>
  <si>
    <t>암</t>
  </si>
  <si>
    <t>압</t>
  </si>
  <si>
    <t>앗</t>
  </si>
  <si>
    <t>았</t>
  </si>
  <si>
    <t>앙</t>
  </si>
  <si>
    <t>앝</t>
  </si>
  <si>
    <t>앞</t>
  </si>
  <si>
    <t>애</t>
  </si>
  <si>
    <t>액</t>
  </si>
  <si>
    <t>앤</t>
  </si>
  <si>
    <t>앨</t>
  </si>
  <si>
    <t>앰</t>
  </si>
  <si>
    <t>앱</t>
  </si>
  <si>
    <t>앳</t>
  </si>
  <si>
    <t>앴</t>
  </si>
  <si>
    <t>앵</t>
  </si>
  <si>
    <t>야</t>
  </si>
  <si>
    <t>약</t>
  </si>
  <si>
    <t>얀</t>
  </si>
  <si>
    <t>얄</t>
  </si>
  <si>
    <t>얇</t>
  </si>
  <si>
    <t>얌</t>
  </si>
  <si>
    <t>얍</t>
  </si>
  <si>
    <t>얏</t>
  </si>
  <si>
    <t>양</t>
  </si>
  <si>
    <t>얕</t>
  </si>
  <si>
    <t>얗</t>
  </si>
  <si>
    <t>얘</t>
  </si>
  <si>
    <t>얜</t>
  </si>
  <si>
    <t>얠</t>
  </si>
  <si>
    <t>얩</t>
  </si>
  <si>
    <t>어</t>
  </si>
  <si>
    <t>억</t>
  </si>
  <si>
    <t>언</t>
  </si>
  <si>
    <t>얹</t>
  </si>
  <si>
    <t>얻</t>
  </si>
  <si>
    <t>얼</t>
  </si>
  <si>
    <t>얽</t>
  </si>
  <si>
    <t>얾</t>
  </si>
  <si>
    <t>엄</t>
  </si>
  <si>
    <t>업</t>
  </si>
  <si>
    <t>없</t>
  </si>
  <si>
    <t>엇</t>
  </si>
  <si>
    <t>었</t>
  </si>
  <si>
    <t>엉</t>
  </si>
  <si>
    <t>엊</t>
  </si>
  <si>
    <t>엌</t>
  </si>
  <si>
    <t>엎</t>
  </si>
  <si>
    <t>에</t>
  </si>
  <si>
    <t>엑</t>
  </si>
  <si>
    <t>엔</t>
  </si>
  <si>
    <t>엘</t>
  </si>
  <si>
    <t>엠</t>
  </si>
  <si>
    <t>엡</t>
  </si>
  <si>
    <t>엣</t>
  </si>
  <si>
    <t>엥</t>
  </si>
  <si>
    <t>여</t>
  </si>
  <si>
    <t>역</t>
  </si>
  <si>
    <t>엮</t>
  </si>
  <si>
    <t>연</t>
  </si>
  <si>
    <t>열</t>
  </si>
  <si>
    <t>엶</t>
  </si>
  <si>
    <t>엷</t>
  </si>
  <si>
    <t>염</t>
  </si>
  <si>
    <t>엽</t>
  </si>
  <si>
    <t>엾</t>
  </si>
  <si>
    <t>엿</t>
  </si>
  <si>
    <t>였</t>
  </si>
  <si>
    <t>영</t>
  </si>
  <si>
    <t>옅</t>
  </si>
  <si>
    <t>옆</t>
  </si>
  <si>
    <t>옇</t>
  </si>
  <si>
    <t>예</t>
  </si>
  <si>
    <t>옌</t>
  </si>
  <si>
    <t>옐</t>
  </si>
  <si>
    <t>옘</t>
  </si>
  <si>
    <t>옙</t>
  </si>
  <si>
    <t>옛</t>
  </si>
  <si>
    <t>옜</t>
  </si>
  <si>
    <t>오</t>
  </si>
  <si>
    <t>옥</t>
  </si>
  <si>
    <t>온</t>
  </si>
  <si>
    <t>올</t>
  </si>
  <si>
    <t>옭</t>
  </si>
  <si>
    <t>옮</t>
  </si>
  <si>
    <t>옰</t>
  </si>
  <si>
    <t>옳</t>
  </si>
  <si>
    <t>옴</t>
  </si>
  <si>
    <t>옵</t>
  </si>
  <si>
    <t>옷</t>
  </si>
  <si>
    <t>옹</t>
  </si>
  <si>
    <t>옻</t>
  </si>
  <si>
    <t>와</t>
  </si>
  <si>
    <t>왁</t>
  </si>
  <si>
    <t>완</t>
  </si>
  <si>
    <t>왈</t>
  </si>
  <si>
    <t>왐</t>
  </si>
  <si>
    <t>왑</t>
  </si>
  <si>
    <t>왓</t>
  </si>
  <si>
    <t>왔</t>
  </si>
  <si>
    <t>왕</t>
  </si>
  <si>
    <t>왜</t>
  </si>
  <si>
    <t>왝</t>
  </si>
  <si>
    <t>왠</t>
  </si>
  <si>
    <t>왬</t>
  </si>
  <si>
    <t>왯</t>
  </si>
  <si>
    <t>왱</t>
  </si>
  <si>
    <t>외</t>
  </si>
  <si>
    <t>왹</t>
  </si>
  <si>
    <t>왼</t>
  </si>
  <si>
    <t>욀</t>
  </si>
  <si>
    <t>욈</t>
  </si>
  <si>
    <t>욉</t>
  </si>
  <si>
    <t>욋</t>
  </si>
  <si>
    <t>욍</t>
  </si>
  <si>
    <t>요</t>
  </si>
  <si>
    <t>욕</t>
  </si>
  <si>
    <t>욘</t>
  </si>
  <si>
    <t>욜</t>
  </si>
  <si>
    <t>욤</t>
  </si>
  <si>
    <t>욥</t>
  </si>
  <si>
    <t>욧</t>
  </si>
  <si>
    <t>용</t>
  </si>
  <si>
    <t>우</t>
  </si>
  <si>
    <t>욱</t>
  </si>
  <si>
    <t>운</t>
  </si>
  <si>
    <t>울</t>
  </si>
  <si>
    <t>욹</t>
  </si>
  <si>
    <t>욺</t>
  </si>
  <si>
    <t>움</t>
  </si>
  <si>
    <t>웁</t>
  </si>
  <si>
    <t>웃</t>
  </si>
  <si>
    <t>웅</t>
  </si>
  <si>
    <t>워</t>
  </si>
  <si>
    <t>웍</t>
  </si>
  <si>
    <t>원</t>
  </si>
  <si>
    <t>월</t>
  </si>
  <si>
    <t>웜</t>
  </si>
  <si>
    <t>웝</t>
  </si>
  <si>
    <t>웠</t>
  </si>
  <si>
    <t>웡</t>
  </si>
  <si>
    <t>웨</t>
  </si>
  <si>
    <t>웩</t>
  </si>
  <si>
    <t>웬</t>
  </si>
  <si>
    <t>웰</t>
  </si>
  <si>
    <t>웸</t>
  </si>
  <si>
    <t>웹</t>
  </si>
  <si>
    <t>웽</t>
  </si>
  <si>
    <t>위</t>
  </si>
  <si>
    <t>윅</t>
  </si>
  <si>
    <t>윈</t>
  </si>
  <si>
    <t>윌</t>
  </si>
  <si>
    <t>윔</t>
  </si>
  <si>
    <t>윕</t>
  </si>
  <si>
    <t>윗</t>
  </si>
  <si>
    <t>윙</t>
  </si>
  <si>
    <t>유</t>
  </si>
  <si>
    <t>육</t>
  </si>
  <si>
    <t>윤</t>
  </si>
  <si>
    <t>율</t>
  </si>
  <si>
    <t>윰</t>
  </si>
  <si>
    <t>윱</t>
  </si>
  <si>
    <t>윳</t>
  </si>
  <si>
    <t>융</t>
  </si>
  <si>
    <t>윷</t>
  </si>
  <si>
    <t>으</t>
  </si>
  <si>
    <t>윽</t>
  </si>
  <si>
    <t>을</t>
  </si>
  <si>
    <t>읆</t>
  </si>
  <si>
    <t>음</t>
  </si>
  <si>
    <t>읍</t>
  </si>
  <si>
    <t>읏</t>
  </si>
  <si>
    <t>응</t>
  </si>
  <si>
    <t>읒</t>
  </si>
  <si>
    <t>읓</t>
  </si>
  <si>
    <t>읔</t>
  </si>
  <si>
    <t>읕</t>
  </si>
  <si>
    <t>읖</t>
  </si>
  <si>
    <t>읗</t>
  </si>
  <si>
    <t>의</t>
  </si>
  <si>
    <t>읜</t>
  </si>
  <si>
    <t>읠</t>
  </si>
  <si>
    <t>읨</t>
  </si>
  <si>
    <t>읫</t>
  </si>
  <si>
    <t>이</t>
  </si>
  <si>
    <t>익</t>
  </si>
  <si>
    <t>인</t>
  </si>
  <si>
    <t>일</t>
  </si>
  <si>
    <t>읽</t>
  </si>
  <si>
    <t>읾</t>
  </si>
  <si>
    <t>잃</t>
  </si>
  <si>
    <t>임</t>
  </si>
  <si>
    <t>입</t>
  </si>
  <si>
    <t>잇</t>
  </si>
  <si>
    <t>있</t>
  </si>
  <si>
    <t>잉</t>
  </si>
  <si>
    <t>잊</t>
  </si>
  <si>
    <t>잎</t>
  </si>
  <si>
    <t>자</t>
  </si>
  <si>
    <t>작</t>
  </si>
  <si>
    <t>잔</t>
  </si>
  <si>
    <t>잖</t>
  </si>
  <si>
    <t>잗</t>
  </si>
  <si>
    <t>잘</t>
  </si>
  <si>
    <t>잚</t>
  </si>
  <si>
    <t>잠</t>
  </si>
  <si>
    <t>잡</t>
  </si>
  <si>
    <t>잣</t>
  </si>
  <si>
    <t>잤</t>
  </si>
  <si>
    <t>장</t>
  </si>
  <si>
    <t>잦</t>
  </si>
  <si>
    <t>재</t>
  </si>
  <si>
    <t>잭</t>
  </si>
  <si>
    <t>잰</t>
  </si>
  <si>
    <t>잴</t>
  </si>
  <si>
    <t>잼</t>
  </si>
  <si>
    <t>잽</t>
  </si>
  <si>
    <t>잿</t>
  </si>
  <si>
    <t>쟀</t>
  </si>
  <si>
    <t>쟁</t>
  </si>
  <si>
    <t>쟈</t>
  </si>
  <si>
    <t>쟉</t>
  </si>
  <si>
    <t>쟌</t>
  </si>
  <si>
    <t>쟎</t>
  </si>
  <si>
    <t>쟐</t>
  </si>
  <si>
    <t>쟘</t>
  </si>
  <si>
    <t>쟝</t>
  </si>
  <si>
    <t>쟤</t>
  </si>
  <si>
    <t>쟨</t>
  </si>
  <si>
    <t>쟬</t>
  </si>
  <si>
    <t>저</t>
  </si>
  <si>
    <t>적</t>
  </si>
  <si>
    <t>전</t>
  </si>
  <si>
    <t>절</t>
  </si>
  <si>
    <t>젊</t>
  </si>
  <si>
    <t>점</t>
  </si>
  <si>
    <t>접</t>
  </si>
  <si>
    <t>젓</t>
  </si>
  <si>
    <t>정</t>
  </si>
  <si>
    <t>젖</t>
  </si>
  <si>
    <t>제</t>
  </si>
  <si>
    <t>젝</t>
  </si>
  <si>
    <t>젠</t>
  </si>
  <si>
    <t>젤</t>
  </si>
  <si>
    <t>젬</t>
  </si>
  <si>
    <t>젭</t>
  </si>
  <si>
    <t>젯</t>
  </si>
  <si>
    <t>젱</t>
  </si>
  <si>
    <t>져</t>
  </si>
  <si>
    <t>젼</t>
  </si>
  <si>
    <t>졀</t>
  </si>
  <si>
    <t>졈</t>
  </si>
  <si>
    <t>졉</t>
  </si>
  <si>
    <t>졌</t>
  </si>
  <si>
    <t>졍</t>
  </si>
  <si>
    <t>졔</t>
  </si>
  <si>
    <t>조</t>
  </si>
  <si>
    <t>족</t>
  </si>
  <si>
    <t>존</t>
  </si>
  <si>
    <t>졸</t>
  </si>
  <si>
    <t>졺</t>
  </si>
  <si>
    <t>좀</t>
  </si>
  <si>
    <t>좁</t>
  </si>
  <si>
    <t>좃</t>
  </si>
  <si>
    <t>종</t>
  </si>
  <si>
    <t>좆</t>
  </si>
  <si>
    <t>좇</t>
  </si>
  <si>
    <t>좋</t>
  </si>
  <si>
    <t>좌</t>
  </si>
  <si>
    <t>좍</t>
  </si>
  <si>
    <t>좔</t>
  </si>
  <si>
    <t>좝</t>
  </si>
  <si>
    <t>좟</t>
  </si>
  <si>
    <t>좡</t>
  </si>
  <si>
    <t>좨</t>
  </si>
  <si>
    <t>좼</t>
  </si>
  <si>
    <t>좽</t>
  </si>
  <si>
    <t>죄</t>
  </si>
  <si>
    <t>죈</t>
  </si>
  <si>
    <t>죌</t>
  </si>
  <si>
    <t>죔</t>
  </si>
  <si>
    <t>죕</t>
  </si>
  <si>
    <t>죗</t>
  </si>
  <si>
    <t>죙</t>
  </si>
  <si>
    <t>죠</t>
  </si>
  <si>
    <t>죡</t>
  </si>
  <si>
    <t>죤</t>
  </si>
  <si>
    <t>죵</t>
  </si>
  <si>
    <t>주</t>
  </si>
  <si>
    <t>죽</t>
  </si>
  <si>
    <t>준</t>
  </si>
  <si>
    <t>줄</t>
  </si>
  <si>
    <t>줅</t>
  </si>
  <si>
    <t>줆</t>
  </si>
  <si>
    <t>줌</t>
  </si>
  <si>
    <t>줍</t>
  </si>
  <si>
    <t>줏</t>
  </si>
  <si>
    <t>중</t>
  </si>
  <si>
    <t>줘</t>
  </si>
  <si>
    <t>줬</t>
  </si>
  <si>
    <t>줴</t>
  </si>
  <si>
    <t>쥐</t>
  </si>
  <si>
    <t>쥑</t>
  </si>
  <si>
    <t>쥔</t>
  </si>
  <si>
    <t>쥘</t>
  </si>
  <si>
    <t>쥠</t>
  </si>
  <si>
    <t>쥡</t>
  </si>
  <si>
    <t>쥣</t>
  </si>
  <si>
    <t>쥬</t>
  </si>
  <si>
    <t>쥰</t>
  </si>
  <si>
    <t>쥴</t>
  </si>
  <si>
    <t>쥼</t>
  </si>
  <si>
    <t>즈</t>
  </si>
  <si>
    <t>즉</t>
  </si>
  <si>
    <t>즌</t>
  </si>
  <si>
    <t>즐</t>
  </si>
  <si>
    <t>즘</t>
  </si>
  <si>
    <t>즙</t>
  </si>
  <si>
    <t>즛</t>
  </si>
  <si>
    <t>증</t>
  </si>
  <si>
    <t>지</t>
  </si>
  <si>
    <t>직</t>
  </si>
  <si>
    <t>진</t>
  </si>
  <si>
    <t>짇</t>
  </si>
  <si>
    <t>질</t>
  </si>
  <si>
    <t>짊</t>
  </si>
  <si>
    <t>짐</t>
  </si>
  <si>
    <t>집</t>
  </si>
  <si>
    <t>짓</t>
  </si>
  <si>
    <t>쬬</t>
  </si>
  <si>
    <t>징</t>
  </si>
  <si>
    <t>짖</t>
  </si>
  <si>
    <t>짙</t>
  </si>
  <si>
    <t>짚</t>
  </si>
  <si>
    <t>짜</t>
  </si>
  <si>
    <t>짝</t>
  </si>
  <si>
    <t>짠</t>
  </si>
  <si>
    <t>짢</t>
  </si>
  <si>
    <t>짤</t>
  </si>
  <si>
    <t>짧</t>
  </si>
  <si>
    <t>짬</t>
  </si>
  <si>
    <t>짭</t>
  </si>
  <si>
    <t>짯</t>
  </si>
  <si>
    <t>짰</t>
  </si>
  <si>
    <t>짱</t>
  </si>
  <si>
    <t>째</t>
  </si>
  <si>
    <t>짹</t>
  </si>
  <si>
    <t>짼</t>
  </si>
  <si>
    <t>쨀</t>
  </si>
  <si>
    <t>쨈</t>
  </si>
  <si>
    <t>쨉</t>
  </si>
  <si>
    <t>쨋</t>
  </si>
  <si>
    <t>쨌</t>
  </si>
  <si>
    <t>쨍</t>
  </si>
  <si>
    <t>쨔</t>
  </si>
  <si>
    <t>쨘</t>
  </si>
  <si>
    <t>쨩</t>
  </si>
  <si>
    <t>쩌</t>
  </si>
  <si>
    <t>쩍</t>
  </si>
  <si>
    <t>쩐</t>
  </si>
  <si>
    <t>쩔</t>
  </si>
  <si>
    <t>쩜</t>
  </si>
  <si>
    <t>쩝</t>
  </si>
  <si>
    <t>쩟</t>
  </si>
  <si>
    <t>쩠</t>
  </si>
  <si>
    <t>쩡</t>
  </si>
  <si>
    <t>쩨</t>
  </si>
  <si>
    <t>쩽</t>
  </si>
  <si>
    <t>쪄</t>
  </si>
  <si>
    <t>쪘</t>
  </si>
  <si>
    <t>쪼</t>
  </si>
  <si>
    <t>쪽</t>
  </si>
  <si>
    <t>쫀</t>
  </si>
  <si>
    <t>쫄</t>
  </si>
  <si>
    <t>쫌</t>
  </si>
  <si>
    <t>쫍</t>
  </si>
  <si>
    <t>쫏</t>
  </si>
  <si>
    <t>쫑</t>
  </si>
  <si>
    <t>쫓</t>
  </si>
  <si>
    <t>쫘</t>
  </si>
  <si>
    <t>쫙</t>
  </si>
  <si>
    <t>쫠</t>
  </si>
  <si>
    <t>쫬</t>
  </si>
  <si>
    <t>쫴</t>
  </si>
  <si>
    <t>쬈</t>
  </si>
  <si>
    <t>쬐</t>
  </si>
  <si>
    <t>쬔</t>
  </si>
  <si>
    <t>쬘</t>
  </si>
  <si>
    <t>쬠</t>
  </si>
  <si>
    <t>쬡</t>
  </si>
  <si>
    <t>쭁</t>
  </si>
  <si>
    <t>쭈</t>
  </si>
  <si>
    <t>쭉</t>
  </si>
  <si>
    <t>쭌</t>
  </si>
  <si>
    <t>쭐</t>
  </si>
  <si>
    <t>쭘</t>
  </si>
  <si>
    <t>쭙</t>
  </si>
  <si>
    <t>쭝</t>
  </si>
  <si>
    <t>쭤</t>
  </si>
  <si>
    <t>쭸</t>
  </si>
  <si>
    <t>쭹</t>
  </si>
  <si>
    <t>쮜</t>
  </si>
  <si>
    <t>쮸</t>
  </si>
  <si>
    <t>쯔</t>
  </si>
  <si>
    <t>쯤</t>
  </si>
  <si>
    <t>쯧</t>
  </si>
  <si>
    <t>쯩</t>
  </si>
  <si>
    <t>찌</t>
  </si>
  <si>
    <t>찍</t>
  </si>
  <si>
    <t>찐</t>
  </si>
  <si>
    <t>찔</t>
  </si>
  <si>
    <t>찜</t>
  </si>
  <si>
    <t>찝</t>
  </si>
  <si>
    <t>찡</t>
  </si>
  <si>
    <t>찢</t>
  </si>
  <si>
    <t>찧</t>
  </si>
  <si>
    <t>차</t>
  </si>
  <si>
    <t>착</t>
  </si>
  <si>
    <t>찬</t>
  </si>
  <si>
    <t>찮</t>
  </si>
  <si>
    <t>찰</t>
  </si>
  <si>
    <t>참</t>
  </si>
  <si>
    <t>찹</t>
  </si>
  <si>
    <t>찻</t>
  </si>
  <si>
    <t>찼</t>
  </si>
  <si>
    <t>창</t>
  </si>
  <si>
    <t>찾</t>
  </si>
  <si>
    <t>채</t>
  </si>
  <si>
    <t>책</t>
  </si>
  <si>
    <t>챈</t>
  </si>
  <si>
    <t>챌</t>
  </si>
  <si>
    <t>챔</t>
  </si>
  <si>
    <t>챕</t>
  </si>
  <si>
    <t>챗</t>
  </si>
  <si>
    <t>챘</t>
  </si>
  <si>
    <t>챙</t>
  </si>
  <si>
    <t>챠</t>
  </si>
  <si>
    <t>챤</t>
  </si>
  <si>
    <t>챦</t>
  </si>
  <si>
    <t>챨</t>
  </si>
  <si>
    <t>챰</t>
  </si>
  <si>
    <t>챵</t>
  </si>
  <si>
    <t>처</t>
  </si>
  <si>
    <t>척</t>
  </si>
  <si>
    <t>천</t>
  </si>
  <si>
    <t>철</t>
  </si>
  <si>
    <t>첨</t>
  </si>
  <si>
    <t>첩</t>
  </si>
  <si>
    <t>첫</t>
  </si>
  <si>
    <t>첬</t>
  </si>
  <si>
    <t>청</t>
  </si>
  <si>
    <t>체</t>
  </si>
  <si>
    <t>첵</t>
  </si>
  <si>
    <t>첸</t>
  </si>
  <si>
    <t>첼</t>
  </si>
  <si>
    <t>쳄</t>
  </si>
  <si>
    <t>쳅</t>
  </si>
  <si>
    <t>쳇</t>
  </si>
  <si>
    <t>쳉</t>
  </si>
  <si>
    <t>쳐</t>
  </si>
  <si>
    <t>쳔</t>
  </si>
  <si>
    <t>쳤</t>
  </si>
  <si>
    <t>쳬</t>
  </si>
  <si>
    <t>쳰</t>
  </si>
  <si>
    <t>촁</t>
  </si>
  <si>
    <t>초</t>
  </si>
  <si>
    <t>촉</t>
  </si>
  <si>
    <t>촌</t>
  </si>
  <si>
    <t>촐</t>
  </si>
  <si>
    <t>촘</t>
  </si>
  <si>
    <t>촙</t>
  </si>
  <si>
    <t>촛</t>
  </si>
  <si>
    <t>총</t>
  </si>
  <si>
    <t>촤</t>
  </si>
  <si>
    <t>촨</t>
  </si>
  <si>
    <t>촬</t>
  </si>
  <si>
    <t>촹</t>
  </si>
  <si>
    <t>최</t>
  </si>
  <si>
    <t>쵠</t>
  </si>
  <si>
    <t>쵤</t>
  </si>
  <si>
    <t>쵬</t>
  </si>
  <si>
    <t>쵭</t>
  </si>
  <si>
    <t>쵯</t>
  </si>
  <si>
    <t>쵱</t>
  </si>
  <si>
    <t>쵸</t>
  </si>
  <si>
    <t>춈</t>
  </si>
  <si>
    <t>추</t>
  </si>
  <si>
    <t>축</t>
  </si>
  <si>
    <t>춘</t>
  </si>
  <si>
    <t>출</t>
  </si>
  <si>
    <t>춤</t>
  </si>
  <si>
    <t>춥</t>
  </si>
  <si>
    <t>춧</t>
  </si>
  <si>
    <t>충</t>
  </si>
  <si>
    <t>춰</t>
  </si>
  <si>
    <t>췄</t>
  </si>
  <si>
    <t>췌</t>
  </si>
  <si>
    <t>췐</t>
  </si>
  <si>
    <t>취</t>
  </si>
  <si>
    <t>췬</t>
  </si>
  <si>
    <t>췰</t>
  </si>
  <si>
    <t>췸</t>
  </si>
  <si>
    <t>췹</t>
  </si>
  <si>
    <t>췻</t>
  </si>
  <si>
    <t>췽</t>
  </si>
  <si>
    <t>츄</t>
  </si>
  <si>
    <t>츈</t>
  </si>
  <si>
    <t>츌</t>
  </si>
  <si>
    <t>츔</t>
  </si>
  <si>
    <t>츙</t>
  </si>
  <si>
    <t>츠</t>
  </si>
  <si>
    <t>측</t>
  </si>
  <si>
    <t>츤</t>
  </si>
  <si>
    <t>츨</t>
  </si>
  <si>
    <t>츰</t>
  </si>
  <si>
    <t>츱</t>
  </si>
  <si>
    <t>츳</t>
  </si>
  <si>
    <t>층</t>
  </si>
  <si>
    <t>치</t>
  </si>
  <si>
    <t>칙</t>
  </si>
  <si>
    <t>친</t>
  </si>
  <si>
    <t>칟</t>
  </si>
  <si>
    <t>칠</t>
  </si>
  <si>
    <t>칡</t>
  </si>
  <si>
    <t>침</t>
  </si>
  <si>
    <t>칩</t>
  </si>
  <si>
    <t>칫</t>
  </si>
  <si>
    <t>칭</t>
  </si>
  <si>
    <t>카</t>
  </si>
  <si>
    <t>칵</t>
  </si>
  <si>
    <t>칸</t>
  </si>
  <si>
    <t>칼</t>
  </si>
  <si>
    <t>캄</t>
  </si>
  <si>
    <t>캅</t>
  </si>
  <si>
    <t>캇</t>
  </si>
  <si>
    <t>캉</t>
  </si>
  <si>
    <t>캐</t>
  </si>
  <si>
    <t>캑</t>
  </si>
  <si>
    <t>캔</t>
  </si>
  <si>
    <t>캘</t>
  </si>
  <si>
    <t>캠</t>
  </si>
  <si>
    <t>캡</t>
  </si>
  <si>
    <t>캣</t>
  </si>
  <si>
    <t>캤</t>
  </si>
  <si>
    <t>캥</t>
  </si>
  <si>
    <t>캬</t>
  </si>
  <si>
    <t>캭</t>
  </si>
  <si>
    <t>컁</t>
  </si>
  <si>
    <t>커</t>
  </si>
  <si>
    <t>컥</t>
  </si>
  <si>
    <t>컨</t>
  </si>
  <si>
    <t>컫</t>
  </si>
  <si>
    <t>컬</t>
  </si>
  <si>
    <t>컴</t>
  </si>
  <si>
    <t>컵</t>
  </si>
  <si>
    <t>컷</t>
  </si>
  <si>
    <t>컸</t>
  </si>
  <si>
    <t>컹</t>
  </si>
  <si>
    <t>케</t>
  </si>
  <si>
    <t>켁</t>
  </si>
  <si>
    <t>켄</t>
  </si>
  <si>
    <t>켈</t>
  </si>
  <si>
    <t>켐</t>
  </si>
  <si>
    <t>켑</t>
  </si>
  <si>
    <t>켓</t>
  </si>
  <si>
    <t>켕</t>
  </si>
  <si>
    <t>켜</t>
  </si>
  <si>
    <t>켠</t>
  </si>
  <si>
    <t>켤</t>
  </si>
  <si>
    <t>켬</t>
  </si>
  <si>
    <t>켭</t>
  </si>
  <si>
    <t>켯</t>
  </si>
  <si>
    <t>켰</t>
  </si>
  <si>
    <t>켱</t>
  </si>
  <si>
    <t>켸</t>
  </si>
  <si>
    <t>코</t>
  </si>
  <si>
    <t>콕</t>
  </si>
  <si>
    <t>콘</t>
  </si>
  <si>
    <t>콜</t>
  </si>
  <si>
    <t>콤</t>
  </si>
  <si>
    <t>콥</t>
  </si>
  <si>
    <t>콧</t>
  </si>
  <si>
    <t>콩</t>
  </si>
  <si>
    <t>콰</t>
  </si>
  <si>
    <t>콱</t>
  </si>
  <si>
    <t>콴</t>
  </si>
  <si>
    <t>콸</t>
  </si>
  <si>
    <t>쾀</t>
  </si>
  <si>
    <t>쾅</t>
  </si>
  <si>
    <t>쾌</t>
  </si>
  <si>
    <t>쾡</t>
  </si>
  <si>
    <t>쾨</t>
  </si>
  <si>
    <t>쾰</t>
  </si>
  <si>
    <t>쿄</t>
  </si>
  <si>
    <t>쿠</t>
  </si>
  <si>
    <t>쿡</t>
  </si>
  <si>
    <t>쿤</t>
  </si>
  <si>
    <t>쿨</t>
  </si>
  <si>
    <t>쿰</t>
  </si>
  <si>
    <t>쿱</t>
  </si>
  <si>
    <t>쿳</t>
  </si>
  <si>
    <t>쿵</t>
  </si>
  <si>
    <t>쿼</t>
  </si>
  <si>
    <t>퀀</t>
  </si>
  <si>
    <t>퀄</t>
  </si>
  <si>
    <t>퀑</t>
  </si>
  <si>
    <t>퀘</t>
  </si>
  <si>
    <t>퀭</t>
  </si>
  <si>
    <t>퀴</t>
  </si>
  <si>
    <t>퀵</t>
  </si>
  <si>
    <t>퀸</t>
  </si>
  <si>
    <t>퀼</t>
  </si>
  <si>
    <t>큄</t>
  </si>
  <si>
    <t>큅</t>
  </si>
  <si>
    <t>큇</t>
  </si>
  <si>
    <t>큉</t>
  </si>
  <si>
    <t>큐</t>
  </si>
  <si>
    <t>큔</t>
  </si>
  <si>
    <t>큘</t>
  </si>
  <si>
    <t>큠</t>
  </si>
  <si>
    <t>크</t>
  </si>
  <si>
    <t>큭</t>
  </si>
  <si>
    <t>큰</t>
  </si>
  <si>
    <t>클</t>
  </si>
  <si>
    <t>큼</t>
  </si>
  <si>
    <t>큽</t>
  </si>
  <si>
    <t>킁</t>
  </si>
  <si>
    <t>키</t>
  </si>
  <si>
    <t>킥</t>
  </si>
  <si>
    <t>킨</t>
  </si>
  <si>
    <t>킬</t>
  </si>
  <si>
    <t>킴</t>
  </si>
  <si>
    <t>킵</t>
  </si>
  <si>
    <t>킷</t>
  </si>
  <si>
    <t>킹</t>
  </si>
  <si>
    <t>타</t>
  </si>
  <si>
    <t>탁</t>
  </si>
  <si>
    <t>탄</t>
  </si>
  <si>
    <t>탈</t>
  </si>
  <si>
    <t>탉</t>
  </si>
  <si>
    <t>탐</t>
  </si>
  <si>
    <t>탑</t>
  </si>
  <si>
    <t>탓</t>
  </si>
  <si>
    <t>탔</t>
  </si>
  <si>
    <t>탕</t>
  </si>
  <si>
    <t>태</t>
  </si>
  <si>
    <t>택</t>
  </si>
  <si>
    <t>탠</t>
  </si>
  <si>
    <t>탤</t>
  </si>
  <si>
    <t>탬</t>
  </si>
  <si>
    <t>탭</t>
  </si>
  <si>
    <t>탯</t>
  </si>
  <si>
    <t>탰</t>
  </si>
  <si>
    <t>탱</t>
  </si>
  <si>
    <t>탸</t>
  </si>
  <si>
    <t>턍</t>
  </si>
  <si>
    <t>터</t>
  </si>
  <si>
    <t>턱</t>
  </si>
  <si>
    <t>턴</t>
  </si>
  <si>
    <t>털</t>
  </si>
  <si>
    <t>턺</t>
  </si>
  <si>
    <t>텀</t>
  </si>
  <si>
    <t>텁</t>
  </si>
  <si>
    <t>텃</t>
  </si>
  <si>
    <t>텄</t>
  </si>
  <si>
    <t>텅</t>
  </si>
  <si>
    <t>테</t>
  </si>
  <si>
    <t>텍</t>
  </si>
  <si>
    <t>텐</t>
  </si>
  <si>
    <t>텔</t>
  </si>
  <si>
    <t>템</t>
  </si>
  <si>
    <t>텝</t>
  </si>
  <si>
    <t>텟</t>
  </si>
  <si>
    <t>텡</t>
  </si>
  <si>
    <t>텨</t>
  </si>
  <si>
    <t>텬</t>
  </si>
  <si>
    <t>텼</t>
  </si>
  <si>
    <t>톄</t>
  </si>
  <si>
    <t>톈</t>
  </si>
  <si>
    <t>토</t>
  </si>
  <si>
    <t>톡</t>
  </si>
  <si>
    <t>톤</t>
  </si>
  <si>
    <t>톨</t>
  </si>
  <si>
    <t>톰</t>
  </si>
  <si>
    <t>톱</t>
  </si>
  <si>
    <t>톳</t>
  </si>
  <si>
    <t>통</t>
  </si>
  <si>
    <t>톺</t>
  </si>
  <si>
    <t>톼</t>
  </si>
  <si>
    <t>퇀</t>
  </si>
  <si>
    <t>퇘</t>
  </si>
  <si>
    <t>퇴</t>
  </si>
  <si>
    <t>퇸</t>
  </si>
  <si>
    <t>툇</t>
  </si>
  <si>
    <t>툉</t>
  </si>
  <si>
    <t>툐</t>
  </si>
  <si>
    <t>투</t>
  </si>
  <si>
    <t>툭</t>
  </si>
  <si>
    <t>툰</t>
  </si>
  <si>
    <t>툴</t>
  </si>
  <si>
    <t>툼</t>
  </si>
  <si>
    <t>툽</t>
  </si>
  <si>
    <t>툿</t>
  </si>
  <si>
    <t>퉁</t>
  </si>
  <si>
    <t>퉈</t>
  </si>
  <si>
    <t>퉜</t>
  </si>
  <si>
    <t>퉤</t>
  </si>
  <si>
    <t>튀</t>
  </si>
  <si>
    <t>튁</t>
  </si>
  <si>
    <t>튄</t>
  </si>
  <si>
    <t>튈</t>
  </si>
  <si>
    <t>튐</t>
  </si>
  <si>
    <t>튑</t>
  </si>
  <si>
    <t>튕</t>
  </si>
  <si>
    <t>튜</t>
  </si>
  <si>
    <t>튠</t>
  </si>
  <si>
    <t>튤</t>
  </si>
  <si>
    <t>튬</t>
  </si>
  <si>
    <t>튱</t>
  </si>
  <si>
    <t>트</t>
  </si>
  <si>
    <t>특</t>
  </si>
  <si>
    <t>튼</t>
  </si>
  <si>
    <t>튿</t>
  </si>
  <si>
    <t>틀</t>
  </si>
  <si>
    <t>틂</t>
  </si>
  <si>
    <t>틈</t>
  </si>
  <si>
    <t>틉</t>
  </si>
  <si>
    <t>틋</t>
  </si>
  <si>
    <t>틔</t>
  </si>
  <si>
    <t>틘</t>
  </si>
  <si>
    <t>틜</t>
  </si>
  <si>
    <t>틤</t>
  </si>
  <si>
    <t>틥</t>
  </si>
  <si>
    <t>티</t>
  </si>
  <si>
    <t>틱</t>
  </si>
  <si>
    <t>틴</t>
  </si>
  <si>
    <t>틸</t>
  </si>
  <si>
    <t>팀</t>
  </si>
  <si>
    <t>팁</t>
  </si>
  <si>
    <t>팃</t>
  </si>
  <si>
    <t>팅</t>
  </si>
  <si>
    <t>파</t>
  </si>
  <si>
    <t>팍</t>
  </si>
  <si>
    <t>팎</t>
  </si>
  <si>
    <t>판</t>
  </si>
  <si>
    <t>팔</t>
  </si>
  <si>
    <t>팖</t>
  </si>
  <si>
    <t>팜</t>
  </si>
  <si>
    <t>팝</t>
  </si>
  <si>
    <t>팟</t>
  </si>
  <si>
    <t>팠</t>
  </si>
  <si>
    <t>팡</t>
  </si>
  <si>
    <t>팥</t>
  </si>
  <si>
    <t>패</t>
  </si>
  <si>
    <t>팩</t>
  </si>
  <si>
    <t>팬</t>
  </si>
  <si>
    <t>팰</t>
  </si>
  <si>
    <t>팸</t>
  </si>
  <si>
    <t>팹</t>
  </si>
  <si>
    <t>팻</t>
  </si>
  <si>
    <t>팼</t>
  </si>
  <si>
    <t>팽</t>
  </si>
  <si>
    <t>퍄</t>
  </si>
  <si>
    <t>퍅</t>
  </si>
  <si>
    <t>퍼</t>
  </si>
  <si>
    <t>퍽</t>
  </si>
  <si>
    <t>펀</t>
  </si>
  <si>
    <t>펄</t>
  </si>
  <si>
    <t>펌</t>
  </si>
  <si>
    <t>펍</t>
  </si>
  <si>
    <t>펏</t>
  </si>
  <si>
    <t>펐</t>
  </si>
  <si>
    <t>펑</t>
  </si>
  <si>
    <t>페</t>
  </si>
  <si>
    <t>펙</t>
  </si>
  <si>
    <t>펜</t>
  </si>
  <si>
    <t>펠</t>
  </si>
  <si>
    <t>펨</t>
  </si>
  <si>
    <t>펩</t>
  </si>
  <si>
    <t>펫</t>
  </si>
  <si>
    <t>펭</t>
  </si>
  <si>
    <t>펴</t>
  </si>
  <si>
    <t>편</t>
  </si>
  <si>
    <t>펼</t>
  </si>
  <si>
    <t>폄</t>
  </si>
  <si>
    <t>폅</t>
  </si>
  <si>
    <t>폈</t>
  </si>
  <si>
    <t>평</t>
  </si>
  <si>
    <t>폐</t>
  </si>
  <si>
    <t>폘</t>
  </si>
  <si>
    <t>폡</t>
  </si>
  <si>
    <t>폣</t>
  </si>
  <si>
    <t>포</t>
  </si>
  <si>
    <t>폭</t>
  </si>
  <si>
    <t>폰</t>
  </si>
  <si>
    <t>폴</t>
  </si>
  <si>
    <t>폼</t>
  </si>
  <si>
    <t>폽</t>
  </si>
  <si>
    <t>폿</t>
  </si>
  <si>
    <t>퐁</t>
  </si>
  <si>
    <t>퐈</t>
  </si>
  <si>
    <t>퐝</t>
  </si>
  <si>
    <t>푀</t>
  </si>
  <si>
    <t>푄</t>
  </si>
  <si>
    <t>표</t>
  </si>
  <si>
    <t>푠</t>
  </si>
  <si>
    <t>푤</t>
  </si>
  <si>
    <t>푭</t>
  </si>
  <si>
    <t>푯</t>
  </si>
  <si>
    <t>푸</t>
  </si>
  <si>
    <t>푹</t>
  </si>
  <si>
    <t>푼</t>
  </si>
  <si>
    <t>푿</t>
  </si>
  <si>
    <t>풀</t>
  </si>
  <si>
    <t>풂</t>
  </si>
  <si>
    <t>품</t>
  </si>
  <si>
    <t>풉</t>
  </si>
  <si>
    <t>풋</t>
  </si>
  <si>
    <t>풍</t>
  </si>
  <si>
    <t>풔</t>
  </si>
  <si>
    <t>풩</t>
  </si>
  <si>
    <t>퓌</t>
  </si>
  <si>
    <t>퓐</t>
  </si>
  <si>
    <t>퓔</t>
  </si>
  <si>
    <t>퓜</t>
  </si>
  <si>
    <t>퓟</t>
  </si>
  <si>
    <t>퓨</t>
  </si>
  <si>
    <t>퓬</t>
  </si>
  <si>
    <t>퓰</t>
  </si>
  <si>
    <t>퓸</t>
  </si>
  <si>
    <t>퓻</t>
  </si>
  <si>
    <t>퓽</t>
  </si>
  <si>
    <t>프</t>
  </si>
  <si>
    <t>픈</t>
  </si>
  <si>
    <t>플</t>
  </si>
  <si>
    <t>픔</t>
  </si>
  <si>
    <t>픕</t>
  </si>
  <si>
    <t>픗</t>
  </si>
  <si>
    <t>피</t>
  </si>
  <si>
    <t>픽</t>
  </si>
  <si>
    <t>핀</t>
  </si>
  <si>
    <t>필</t>
  </si>
  <si>
    <t>핌</t>
  </si>
  <si>
    <t>핍</t>
  </si>
  <si>
    <t>핏</t>
  </si>
  <si>
    <t>핑</t>
  </si>
  <si>
    <t>하</t>
  </si>
  <si>
    <t>학</t>
  </si>
  <si>
    <t>한</t>
  </si>
  <si>
    <t>할</t>
  </si>
  <si>
    <t>핥</t>
  </si>
  <si>
    <t>함</t>
  </si>
  <si>
    <t>합</t>
  </si>
  <si>
    <t>핫</t>
  </si>
  <si>
    <t>항</t>
  </si>
  <si>
    <t>해</t>
  </si>
  <si>
    <t>핵</t>
  </si>
  <si>
    <t>핸</t>
  </si>
  <si>
    <t>핼</t>
  </si>
  <si>
    <t>햄</t>
  </si>
  <si>
    <t>햅</t>
  </si>
  <si>
    <t>햇</t>
  </si>
  <si>
    <t>했</t>
  </si>
  <si>
    <t>행</t>
  </si>
  <si>
    <t>햐</t>
  </si>
  <si>
    <t>향</t>
  </si>
  <si>
    <t>허</t>
  </si>
  <si>
    <t>헉</t>
  </si>
  <si>
    <t>헌</t>
  </si>
  <si>
    <t>헐</t>
  </si>
  <si>
    <t>헒</t>
  </si>
  <si>
    <t>험</t>
  </si>
  <si>
    <t>헙</t>
  </si>
  <si>
    <t>헛</t>
  </si>
  <si>
    <t>헝</t>
  </si>
  <si>
    <t>헤</t>
  </si>
  <si>
    <t>헥</t>
  </si>
  <si>
    <t>헨</t>
  </si>
  <si>
    <t>헬</t>
  </si>
  <si>
    <t>헴</t>
  </si>
  <si>
    <t>헵</t>
  </si>
  <si>
    <t>헷</t>
  </si>
  <si>
    <t>헹</t>
  </si>
  <si>
    <t>혀</t>
  </si>
  <si>
    <t>혁</t>
  </si>
  <si>
    <t>현</t>
  </si>
  <si>
    <t>혈</t>
  </si>
  <si>
    <t>혐</t>
  </si>
  <si>
    <t>협</t>
  </si>
  <si>
    <t>혓</t>
  </si>
  <si>
    <t>혔</t>
  </si>
  <si>
    <t>형</t>
  </si>
  <si>
    <t>혜</t>
  </si>
  <si>
    <t>혠</t>
  </si>
  <si>
    <t>혤</t>
  </si>
  <si>
    <t>혭</t>
  </si>
  <si>
    <t>호</t>
  </si>
  <si>
    <t>혹</t>
  </si>
  <si>
    <t>혼</t>
  </si>
  <si>
    <t>홀</t>
  </si>
  <si>
    <t>홅</t>
  </si>
  <si>
    <t>홈</t>
  </si>
  <si>
    <t>홉</t>
  </si>
  <si>
    <t>홋</t>
  </si>
  <si>
    <t>홍</t>
  </si>
  <si>
    <t>홑</t>
  </si>
  <si>
    <t>화</t>
  </si>
  <si>
    <t>확</t>
  </si>
  <si>
    <t>환</t>
  </si>
  <si>
    <t>활</t>
  </si>
  <si>
    <t>홧</t>
  </si>
  <si>
    <t>황</t>
  </si>
  <si>
    <t>홰</t>
  </si>
  <si>
    <t>홱</t>
  </si>
  <si>
    <t>홴</t>
  </si>
  <si>
    <t>횃</t>
  </si>
  <si>
    <t>횅</t>
  </si>
  <si>
    <t>회</t>
  </si>
  <si>
    <t>획</t>
  </si>
  <si>
    <t>횐</t>
  </si>
  <si>
    <t>횔</t>
  </si>
  <si>
    <t>횝</t>
  </si>
  <si>
    <t>횟</t>
  </si>
  <si>
    <t>횡</t>
  </si>
  <si>
    <t>효</t>
  </si>
  <si>
    <t>횬</t>
  </si>
  <si>
    <t>횰</t>
  </si>
  <si>
    <t>횹</t>
  </si>
  <si>
    <t>횻</t>
  </si>
  <si>
    <t>후</t>
  </si>
  <si>
    <t>훅</t>
  </si>
  <si>
    <t>훈</t>
  </si>
  <si>
    <t>훌</t>
  </si>
  <si>
    <t>훑</t>
  </si>
  <si>
    <t>훔</t>
  </si>
  <si>
    <t>훗</t>
  </si>
  <si>
    <t>훙</t>
  </si>
  <si>
    <t>훠</t>
  </si>
  <si>
    <t>훤</t>
  </si>
  <si>
    <t>훨</t>
  </si>
  <si>
    <t>훰</t>
  </si>
  <si>
    <t>훵</t>
  </si>
  <si>
    <t>훼</t>
  </si>
  <si>
    <t>훽</t>
  </si>
  <si>
    <t>휀</t>
  </si>
  <si>
    <t>휄</t>
  </si>
  <si>
    <t>휑</t>
  </si>
  <si>
    <t>휘</t>
  </si>
  <si>
    <t>휙</t>
  </si>
  <si>
    <t>휜</t>
  </si>
  <si>
    <t>휠</t>
  </si>
  <si>
    <t>휨</t>
  </si>
  <si>
    <t>휩</t>
  </si>
  <si>
    <t>휫</t>
  </si>
  <si>
    <t>휭</t>
  </si>
  <si>
    <t>휴</t>
  </si>
  <si>
    <t>휵</t>
  </si>
  <si>
    <t>휸</t>
  </si>
  <si>
    <t>휼</t>
  </si>
  <si>
    <t>흄</t>
  </si>
  <si>
    <t>흇</t>
  </si>
  <si>
    <t>흉</t>
  </si>
  <si>
    <t>흐</t>
  </si>
  <si>
    <t>흑</t>
  </si>
  <si>
    <t>흔</t>
  </si>
  <si>
    <t>흖</t>
  </si>
  <si>
    <t>흗</t>
  </si>
  <si>
    <t>흘</t>
  </si>
  <si>
    <t>흙</t>
  </si>
  <si>
    <t>흠</t>
  </si>
  <si>
    <t>흡</t>
  </si>
  <si>
    <t>흣</t>
  </si>
  <si>
    <t>흥</t>
  </si>
  <si>
    <t>흩</t>
  </si>
  <si>
    <t>희</t>
  </si>
  <si>
    <t>흰</t>
  </si>
  <si>
    <t>흴</t>
  </si>
  <si>
    <t>흼</t>
  </si>
  <si>
    <t>흽</t>
  </si>
  <si>
    <t>힁</t>
  </si>
  <si>
    <t>히</t>
  </si>
  <si>
    <t>힉</t>
  </si>
  <si>
    <t>힌</t>
  </si>
  <si>
    <t>힐</t>
  </si>
  <si>
    <t>힘</t>
  </si>
  <si>
    <t>힙</t>
  </si>
  <si>
    <t>힛</t>
  </si>
  <si>
    <t>힝</t>
  </si>
  <si>
    <t>Num of Lines</t>
  </si>
  <si>
    <t>Pixels per Line</t>
  </si>
  <si>
    <t>Pixels per Char</t>
  </si>
  <si>
    <t>Include Box Breaks</t>
  </si>
  <si>
    <t>Include Scrolling</t>
  </si>
  <si>
    <t>Vertically Center Text</t>
  </si>
  <si>
    <t>Box Style</t>
  </si>
  <si>
    <t>Start Tile X</t>
  </si>
  <si>
    <t>Start Tile Y</t>
  </si>
  <si>
    <t>option_tutorial</t>
  </si>
  <si>
    <t>TUTORIAL</t>
  </si>
  <si>
    <t>tutorial_page_1</t>
  </si>
  <si>
    <t>TESTING LOL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</si>
</sst>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m\-d"/>
  </numFmts>
  <fonts count="11">
    <font>
      <sz val="10"/>
      <color rgb="FF000000"/>
      <name val="Arial"/>
      <scheme val="minor"/>
    </font>
    <font>
      <sz val="10"/>
      <color theme="1"/>
      <name val="Arial"/>
      <scheme val="minor"/>
    </font>
    <font>
      <sz val="10"/>
      <name val="Arial"/>
    </font>
    <font>
      <sz val="11"/>
      <color theme="1"/>
      <name val="Arial"/>
      <scheme val="minor"/>
    </font>
    <font>
      <u/>
      <sz val="10"/>
      <color rgb="FF0000FF"/>
      <name val="Arial"/>
    </font>
    <font>
      <sz val="10"/>
      <color theme="1"/>
      <name val="Arial"/>
    </font>
    <font>
      <sz val="10"/>
      <color rgb="FF000000"/>
      <name val="Arial"/>
    </font>
    <font>
      <sz val="10"/>
      <color theme="1"/>
      <name val="&quot;gg mono&quot;"/>
    </font>
    <font>
      <sz val="14"/>
      <color theme="1"/>
      <name val="Arial"/>
    </font>
    <font>
      <i/>
      <sz val="10"/>
      <color theme="1"/>
      <name val="Arial"/>
    </font>
    <font>
      <u/>
      <sz val="10"/>
      <color rgb="FF1155CC"/>
      <name val="Arial"/>
    </font>
  </fonts>
  <fills count="15">
    <fill>
      <patternFill patternType="none"/>
    </fill>
    <fill>
      <patternFill patternType="gray125"/>
    </fill>
    <fill>
      <patternFill patternType="solid">
        <fgColor rgb="FFCCCCCC"/>
        <bgColor rgb="FFCCCCCC"/>
      </patternFill>
    </fill>
    <fill>
      <patternFill patternType="solid">
        <fgColor rgb="FFEA9999"/>
        <bgColor rgb="FFEA9999"/>
      </patternFill>
    </fill>
    <fill>
      <patternFill patternType="solid">
        <fgColor rgb="FFF9CB9C"/>
        <bgColor rgb="FFF9CB9C"/>
      </patternFill>
    </fill>
    <fill>
      <patternFill patternType="solid">
        <fgColor rgb="FF434343"/>
        <bgColor rgb="FF434343"/>
      </patternFill>
    </fill>
    <fill>
      <patternFill patternType="solid">
        <fgColor rgb="FFFFE599"/>
        <bgColor rgb="FFFFE599"/>
      </patternFill>
    </fill>
    <fill>
      <patternFill patternType="solid">
        <fgColor rgb="FFB6D7A8"/>
        <bgColor rgb="FFB6D7A8"/>
      </patternFill>
    </fill>
    <fill>
      <patternFill patternType="solid">
        <fgColor rgb="FFA2C4C9"/>
        <bgColor rgb="FFA2C4C9"/>
      </patternFill>
    </fill>
    <fill>
      <patternFill patternType="solid">
        <fgColor rgb="FF999999"/>
        <bgColor rgb="FF999999"/>
      </patternFill>
    </fill>
    <fill>
      <patternFill patternType="solid">
        <fgColor rgb="FFFFD966"/>
        <bgColor rgb="FFFFD966"/>
      </patternFill>
    </fill>
    <fill>
      <patternFill patternType="solid">
        <fgColor rgb="FFFFFFFF"/>
        <bgColor rgb="FFFFFFFF"/>
      </patternFill>
    </fill>
    <fill>
      <patternFill patternType="solid">
        <fgColor rgb="FFB7B7B7"/>
        <bgColor rgb="FFB7B7B7"/>
      </patternFill>
    </fill>
    <fill>
      <patternFill patternType="solid">
        <fgColor rgb="FFFFFF00"/>
        <bgColor rgb="FFA2C4C9"/>
      </patternFill>
    </fill>
    <fill>
      <patternFill patternType="solid">
        <fgColor rgb="FFFFFF00"/>
        <bgColor indexed="64"/>
      </patternFill>
    </fill>
  </fills>
  <borders count="12">
    <border>
      <left/>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right/>
      <top style="thin">
        <color rgb="FF000000"/>
      </top>
      <bottom/>
      <diagonal/>
    </border>
    <border>
      <left/>
      <right/>
      <top/>
      <bottom style="thin">
        <color rgb="FF000000"/>
      </bottom>
      <diagonal/>
    </border>
  </borders>
  <cellStyleXfs count="1">
    <xf numFmtId="0" fontId="0" fillId="0" borderId="0"/>
  </cellStyleXfs>
  <cellXfs count="86">
    <xf numFmtId="0" fontId="0" fillId="0" borderId="0" xfId="0"/>
    <xf numFmtId="0" fontId="1" fillId="0" borderId="3" xfId="0" applyFont="1" applyBorder="1"/>
    <xf numFmtId="0" fontId="1" fillId="0" borderId="4" xfId="0" applyFont="1" applyBorder="1"/>
    <xf numFmtId="0" fontId="1" fillId="0" borderId="5" xfId="0" applyFont="1" applyBorder="1"/>
    <xf numFmtId="0" fontId="1" fillId="0" borderId="6" xfId="0" applyFont="1" applyBorder="1"/>
    <xf numFmtId="0" fontId="1" fillId="0" borderId="7" xfId="0" applyFont="1" applyBorder="1"/>
    <xf numFmtId="0" fontId="1" fillId="0" borderId="8" xfId="0" applyFont="1" applyBorder="1"/>
    <xf numFmtId="0" fontId="1" fillId="2" borderId="0" xfId="0" applyFont="1" applyFill="1" applyAlignment="1">
      <alignment horizontal="center" vertical="center" wrapText="1"/>
    </xf>
    <xf numFmtId="0" fontId="3" fillId="2" borderId="0" xfId="0" applyFont="1" applyFill="1" applyAlignment="1">
      <alignment horizontal="center" vertical="center" wrapText="1"/>
    </xf>
    <xf numFmtId="164" fontId="1" fillId="3" borderId="0" xfId="0" applyNumberFormat="1" applyFont="1" applyFill="1" applyAlignment="1">
      <alignment horizontal="center" vertical="center" wrapText="1"/>
    </xf>
    <xf numFmtId="0" fontId="1" fillId="3" borderId="0" xfId="0" applyFont="1" applyFill="1" applyAlignment="1">
      <alignment horizontal="center" vertical="center" wrapText="1"/>
    </xf>
    <xf numFmtId="0" fontId="1" fillId="3" borderId="0" xfId="0" applyFont="1" applyFill="1" applyAlignment="1">
      <alignment vertical="center" wrapText="1"/>
    </xf>
    <xf numFmtId="0" fontId="4" fillId="3" borderId="0" xfId="0" applyFont="1" applyFill="1" applyAlignment="1">
      <alignment vertical="center" wrapText="1"/>
    </xf>
    <xf numFmtId="0" fontId="1" fillId="4" borderId="0" xfId="0" applyFont="1" applyFill="1" applyAlignment="1">
      <alignment horizontal="center" vertical="center" wrapText="1"/>
    </xf>
    <xf numFmtId="0" fontId="1" fillId="4" borderId="0" xfId="0" applyFont="1" applyFill="1" applyAlignment="1">
      <alignment vertical="center" wrapText="1"/>
    </xf>
    <xf numFmtId="0" fontId="1" fillId="5" borderId="0" xfId="0" applyFont="1" applyFill="1" applyAlignment="1">
      <alignment vertical="center" wrapText="1"/>
    </xf>
    <xf numFmtId="0" fontId="1" fillId="6" borderId="0" xfId="0" applyFont="1" applyFill="1" applyAlignment="1">
      <alignment horizontal="center" vertical="center" wrapText="1"/>
    </xf>
    <xf numFmtId="0" fontId="1" fillId="6" borderId="0" xfId="0" applyFont="1" applyFill="1" applyAlignment="1">
      <alignment vertical="center" wrapText="1"/>
    </xf>
    <xf numFmtId="0" fontId="1" fillId="7" borderId="0" xfId="0" applyFont="1" applyFill="1" applyAlignment="1">
      <alignment horizontal="center" vertical="center" wrapText="1"/>
    </xf>
    <xf numFmtId="0" fontId="1" fillId="7" borderId="0" xfId="0" applyFont="1" applyFill="1" applyAlignment="1">
      <alignment vertical="center" wrapText="1"/>
    </xf>
    <xf numFmtId="0" fontId="5" fillId="7" borderId="0" xfId="0" applyFont="1" applyFill="1" applyAlignment="1">
      <alignment horizontal="center" vertical="center" wrapText="1"/>
    </xf>
    <xf numFmtId="0" fontId="5" fillId="7" borderId="0" xfId="0" applyFont="1" applyFill="1" applyAlignment="1">
      <alignment vertical="center" wrapText="1"/>
    </xf>
    <xf numFmtId="0" fontId="1" fillId="8" borderId="0" xfId="0" applyFont="1" applyFill="1" applyAlignment="1">
      <alignment horizontal="center" vertical="center" wrapText="1"/>
    </xf>
    <xf numFmtId="0" fontId="1" fillId="8" borderId="0" xfId="0" applyFont="1" applyFill="1" applyAlignment="1">
      <alignment vertical="center" wrapText="1"/>
    </xf>
    <xf numFmtId="0" fontId="1" fillId="9" borderId="0" xfId="0" applyFont="1" applyFill="1" applyAlignment="1">
      <alignment horizontal="center" vertical="center" wrapText="1"/>
    </xf>
    <xf numFmtId="0" fontId="1" fillId="9" borderId="0" xfId="0" applyFont="1" applyFill="1" applyAlignment="1">
      <alignment vertical="center" wrapText="1"/>
    </xf>
    <xf numFmtId="0" fontId="1" fillId="0" borderId="3" xfId="0" applyFont="1" applyBorder="1" applyAlignment="1">
      <alignment vertical="center"/>
    </xf>
    <xf numFmtId="0" fontId="1" fillId="0" borderId="10" xfId="0" applyFont="1" applyBorder="1" applyAlignment="1">
      <alignment vertical="center"/>
    </xf>
    <xf numFmtId="0" fontId="1" fillId="10" borderId="0" xfId="0" applyFont="1" applyFill="1" applyAlignment="1">
      <alignment vertical="center"/>
    </xf>
    <xf numFmtId="0" fontId="1" fillId="0" borderId="4" xfId="0" applyFont="1" applyBorder="1" applyAlignment="1">
      <alignment vertical="center"/>
    </xf>
    <xf numFmtId="0" fontId="1" fillId="0" borderId="3" xfId="0" applyFont="1" applyBorder="1" applyAlignment="1">
      <alignment horizontal="left" vertical="center"/>
    </xf>
    <xf numFmtId="0" fontId="1" fillId="0" borderId="10" xfId="0" applyFont="1" applyBorder="1" applyAlignment="1">
      <alignment horizontal="left" vertical="center"/>
    </xf>
    <xf numFmtId="0" fontId="1" fillId="0" borderId="4" xfId="0" applyFont="1" applyBorder="1" applyAlignment="1">
      <alignment horizontal="left" vertical="center"/>
    </xf>
    <xf numFmtId="0" fontId="1" fillId="0" borderId="5" xfId="0" applyFont="1" applyBorder="1" applyAlignment="1">
      <alignment vertical="center"/>
    </xf>
    <xf numFmtId="0" fontId="1" fillId="0" borderId="0" xfId="0" applyFont="1" applyAlignment="1">
      <alignment vertical="center"/>
    </xf>
    <xf numFmtId="0" fontId="1" fillId="10" borderId="6" xfId="0" applyFont="1" applyFill="1" applyBorder="1" applyAlignment="1">
      <alignment vertical="center"/>
    </xf>
    <xf numFmtId="0" fontId="1" fillId="0" borderId="6" xfId="0" applyFont="1" applyBorder="1" applyAlignment="1">
      <alignment vertical="center"/>
    </xf>
    <xf numFmtId="0" fontId="1" fillId="0" borderId="5" xfId="0" applyFont="1" applyBorder="1" applyAlignment="1">
      <alignment horizontal="left" vertical="center"/>
    </xf>
    <xf numFmtId="0" fontId="1" fillId="0" borderId="0" xfId="0" applyFont="1" applyAlignment="1">
      <alignment horizontal="left" vertical="center"/>
    </xf>
    <xf numFmtId="0" fontId="1" fillId="0" borderId="6" xfId="0" applyFont="1" applyBorder="1" applyAlignment="1">
      <alignment horizontal="left" vertical="center"/>
    </xf>
    <xf numFmtId="0" fontId="1" fillId="0" borderId="0" xfId="0" quotePrefix="1" applyFont="1" applyAlignment="1">
      <alignment vertical="center"/>
    </xf>
    <xf numFmtId="0" fontId="6" fillId="10" borderId="5" xfId="0" applyFont="1" applyFill="1" applyBorder="1" applyAlignment="1">
      <alignment vertical="center"/>
    </xf>
    <xf numFmtId="0" fontId="6" fillId="10" borderId="0" xfId="0" applyFont="1" applyFill="1" applyAlignment="1">
      <alignment vertical="center"/>
    </xf>
    <xf numFmtId="0" fontId="7" fillId="10" borderId="0" xfId="0" applyFont="1" applyFill="1" applyAlignment="1">
      <alignment horizontal="left" vertical="center"/>
    </xf>
    <xf numFmtId="0" fontId="5" fillId="0" borderId="0" xfId="0" applyFont="1" applyAlignment="1">
      <alignment horizontal="left" vertical="center"/>
    </xf>
    <xf numFmtId="0" fontId="6" fillId="11" borderId="5" xfId="0" applyFont="1" applyFill="1" applyBorder="1" applyAlignment="1">
      <alignment vertical="center"/>
    </xf>
    <xf numFmtId="0" fontId="6" fillId="11" borderId="0" xfId="0" applyFont="1" applyFill="1" applyAlignment="1">
      <alignment vertical="center"/>
    </xf>
    <xf numFmtId="0" fontId="1" fillId="11" borderId="0" xfId="0" applyFont="1" applyFill="1" applyAlignment="1">
      <alignment vertical="center"/>
    </xf>
    <xf numFmtId="0" fontId="1" fillId="10" borderId="5" xfId="0" applyFont="1" applyFill="1" applyBorder="1" applyAlignment="1">
      <alignment vertical="center"/>
    </xf>
    <xf numFmtId="0" fontId="1" fillId="0" borderId="7" xfId="0" applyFont="1" applyBorder="1" applyAlignment="1">
      <alignment vertical="center"/>
    </xf>
    <xf numFmtId="0" fontId="1" fillId="0" borderId="11" xfId="0" applyFont="1" applyBorder="1" applyAlignment="1">
      <alignment vertical="center"/>
    </xf>
    <xf numFmtId="0" fontId="1" fillId="10" borderId="11" xfId="0" applyFont="1" applyFill="1" applyBorder="1" applyAlignment="1">
      <alignment vertical="center"/>
    </xf>
    <xf numFmtId="0" fontId="1" fillId="10" borderId="8" xfId="0" applyFont="1" applyFill="1" applyBorder="1" applyAlignment="1">
      <alignment vertical="center"/>
    </xf>
    <xf numFmtId="0" fontId="1" fillId="11" borderId="11" xfId="0" applyFont="1" applyFill="1" applyBorder="1" applyAlignment="1">
      <alignment vertical="center"/>
    </xf>
    <xf numFmtId="0" fontId="1" fillId="0" borderId="7" xfId="0" applyFont="1" applyBorder="1" applyAlignment="1">
      <alignment horizontal="left" vertical="center"/>
    </xf>
    <xf numFmtId="0" fontId="1" fillId="0" borderId="11" xfId="0" applyFont="1" applyBorder="1" applyAlignment="1">
      <alignment horizontal="left" vertical="center"/>
    </xf>
    <xf numFmtId="0" fontId="1" fillId="10" borderId="11" xfId="0" applyFont="1" applyFill="1" applyBorder="1" applyAlignment="1">
      <alignment horizontal="left" vertical="center"/>
    </xf>
    <xf numFmtId="0" fontId="1" fillId="10" borderId="8" xfId="0" applyFont="1" applyFill="1" applyBorder="1" applyAlignment="1">
      <alignment horizontal="left" vertical="center"/>
    </xf>
    <xf numFmtId="0" fontId="1" fillId="11" borderId="3" xfId="0" applyFont="1" applyFill="1" applyBorder="1" applyAlignment="1">
      <alignment horizontal="center" vertical="center"/>
    </xf>
    <xf numFmtId="0" fontId="1" fillId="11" borderId="10" xfId="0" applyFont="1" applyFill="1" applyBorder="1" applyAlignment="1">
      <alignment horizontal="center" vertical="center"/>
    </xf>
    <xf numFmtId="0" fontId="1" fillId="11" borderId="4" xfId="0" applyFont="1" applyFill="1" applyBorder="1" applyAlignment="1">
      <alignment horizontal="center" vertical="center"/>
    </xf>
    <xf numFmtId="0" fontId="1" fillId="11" borderId="5" xfId="0" applyFont="1" applyFill="1" applyBorder="1" applyAlignment="1">
      <alignment horizontal="center" vertical="center"/>
    </xf>
    <xf numFmtId="0" fontId="1" fillId="11" borderId="0" xfId="0" applyFont="1" applyFill="1" applyAlignment="1">
      <alignment horizontal="center" vertical="center"/>
    </xf>
    <xf numFmtId="0" fontId="1" fillId="11" borderId="6" xfId="0" applyFont="1" applyFill="1" applyBorder="1" applyAlignment="1">
      <alignment horizontal="center" vertical="center"/>
    </xf>
    <xf numFmtId="0" fontId="1" fillId="0" borderId="0" xfId="0" applyFont="1" applyAlignment="1">
      <alignment horizontal="center" vertical="center" wrapText="1"/>
    </xf>
    <xf numFmtId="0" fontId="1" fillId="0" borderId="0" xfId="0" applyFont="1" applyAlignment="1">
      <alignment wrapText="1"/>
    </xf>
    <xf numFmtId="0" fontId="1" fillId="11" borderId="7" xfId="0" applyFont="1" applyFill="1" applyBorder="1" applyAlignment="1">
      <alignment horizontal="center" vertical="center"/>
    </xf>
    <xf numFmtId="0" fontId="1" fillId="11" borderId="11" xfId="0" applyFont="1" applyFill="1" applyBorder="1" applyAlignment="1">
      <alignment horizontal="center" vertical="center"/>
    </xf>
    <xf numFmtId="0" fontId="1" fillId="11" borderId="8" xfId="0" applyFont="1" applyFill="1" applyBorder="1" applyAlignment="1">
      <alignment horizontal="center" vertical="center"/>
    </xf>
    <xf numFmtId="0" fontId="1" fillId="12" borderId="8" xfId="0" applyFont="1" applyFill="1" applyBorder="1" applyAlignment="1">
      <alignment horizontal="center" vertical="center" wrapText="1"/>
    </xf>
    <xf numFmtId="0" fontId="1" fillId="12" borderId="11" xfId="0" applyFont="1" applyFill="1" applyBorder="1" applyAlignment="1">
      <alignment horizontal="center" vertical="center" wrapText="1"/>
    </xf>
    <xf numFmtId="0" fontId="1" fillId="2" borderId="6" xfId="0" applyFont="1" applyFill="1" applyBorder="1"/>
    <xf numFmtId="0" fontId="1" fillId="2" borderId="0" xfId="0" applyFont="1" applyFill="1"/>
    <xf numFmtId="0" fontId="1" fillId="0" borderId="1" xfId="0" applyFont="1" applyBorder="1" applyAlignment="1">
      <alignment vertical="center" wrapText="1"/>
    </xf>
    <xf numFmtId="0" fontId="2" fillId="0" borderId="2" xfId="0" applyFont="1" applyBorder="1"/>
    <xf numFmtId="0" fontId="1" fillId="0" borderId="0" xfId="0" applyFont="1" applyAlignment="1">
      <alignment horizontal="center" vertical="center"/>
    </xf>
    <xf numFmtId="0" fontId="0" fillId="0" borderId="0" xfId="0"/>
    <xf numFmtId="0" fontId="1" fillId="0" borderId="0" xfId="0" applyFont="1" applyAlignment="1">
      <alignment horizontal="center" vertical="center" wrapText="1"/>
    </xf>
    <xf numFmtId="0" fontId="1" fillId="0" borderId="1" xfId="0" applyFont="1" applyBorder="1" applyAlignment="1">
      <alignment horizontal="center" vertical="center"/>
    </xf>
    <xf numFmtId="0" fontId="2" fillId="0" borderId="9" xfId="0" applyFont="1" applyBorder="1"/>
    <xf numFmtId="0" fontId="1" fillId="0" borderId="0" xfId="0" applyFont="1"/>
    <xf numFmtId="0" fontId="1" fillId="0" borderId="0" xfId="0" applyFont="1" applyAlignment="1">
      <alignment wrapText="1"/>
    </xf>
    <xf numFmtId="0" fontId="1" fillId="0" borderId="0" xfId="0" applyFont="1" applyAlignment="1">
      <alignment vertical="center" wrapText="1"/>
    </xf>
    <xf numFmtId="0" fontId="1" fillId="13" borderId="0" xfId="0" applyFont="1" applyFill="1" applyAlignment="1">
      <alignment horizontal="center" vertical="center" wrapText="1"/>
    </xf>
    <xf numFmtId="0" fontId="1" fillId="13" borderId="0" xfId="0" applyFont="1" applyFill="1" applyAlignment="1">
      <alignment vertical="center" wrapText="1"/>
    </xf>
    <xf numFmtId="0" fontId="0" fillId="14" borderId="0" xfId="0" applyFill="1"/>
  </cellXfs>
  <cellStyles count="1">
    <cellStyle name="Normal" xfId="0" builtinId="0"/>
  </cellStyles>
  <dxfs count="11">
    <dxf>
      <fill>
        <patternFill patternType="none"/>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s>
  <tableStyles count="5">
    <tableStyle name="Translations-style" pivot="0" count="2" xr9:uid="{00000000-0011-0000-FFFF-FFFF00000000}">
      <tableStyleElement type="firstRowStripe" dxfId="10"/>
      <tableStyleElement type="secondRowStripe" dxfId="9"/>
    </tableStyle>
    <tableStyle name="Translations-style 2" pivot="0" count="2" xr9:uid="{00000000-0011-0000-FFFF-FFFF01000000}">
      <tableStyleElement type="firstRowStripe" dxfId="8"/>
      <tableStyleElement type="secondRowStripe" dxfId="7"/>
    </tableStyle>
    <tableStyle name="Translations-style 3" pivot="0" count="2" xr9:uid="{00000000-0011-0000-FFFF-FFFF02000000}">
      <tableStyleElement type="firstRowStripe" dxfId="6"/>
      <tableStyleElement type="secondRowStripe" dxfId="5"/>
    </tableStyle>
    <tableStyle name="Translations-style 4" pivot="0" count="2" xr9:uid="{00000000-0011-0000-FFFF-FFFF03000000}">
      <tableStyleElement type="firstRowStripe" dxfId="4"/>
      <tableStyleElement type="secondRowStripe" dxfId="3"/>
    </tableStyle>
    <tableStyle name="Translations-style 5" pivot="0" count="2" xr9:uid="{00000000-0011-0000-FFFF-FFFF04000000}">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x18tc:personList xmlns:x18tc="http://schemas.microsoft.com/office/spreadsheetml/2018/threadedcomment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G2:G39" headerRowCount="0">
  <tableColumns count="1">
    <tableColumn id="1" xr3:uid="{00000000-0010-0000-0000-000001000000}" name="Column1"/>
  </tableColumns>
  <tableStyleInfo name="Translation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G66:G72" headerRowCount="0">
  <tableColumns count="1">
    <tableColumn id="1" xr3:uid="{00000000-0010-0000-0100-000001000000}" name="Column1"/>
  </tableColumns>
  <tableStyleInfo name="Translation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G73:G79" headerRowCount="0">
  <tableColumns count="1">
    <tableColumn id="1" xr3:uid="{00000000-0010-0000-0200-000001000000}" name="Column1"/>
  </tableColumns>
  <tableStyleInfo name="Translation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G82:G86" headerRowCount="0">
  <tableColumns count="1">
    <tableColumn id="1" xr3:uid="{00000000-0010-0000-0300-000001000000}" name="Column1"/>
  </tableColumns>
  <tableStyleInfo name="Translations-style 4"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G102:G121" headerRowCount="0">
  <tableColumns count="1">
    <tableColumn id="1" xr3:uid="{00000000-0010-0000-0400-000001000000}" name="Column1"/>
  </tableColumns>
  <tableStyleInfo name="Translations-style 5"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hyperlink" Target="https://bulbapedia.bulbagarden.net/wiki/Mystery_Gift" TargetMode="External"/><Relationship Id="rId1" Type="http://schemas.openxmlformats.org/officeDocument/2006/relationships/hyperlink" Target="https://bulbapedia.bulbagarden.net/wiki/Mystery_Gift" TargetMode="External"/><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10"/>
  <sheetViews>
    <sheetView workbookViewId="0">
      <selection sqref="A1:B1"/>
    </sheetView>
  </sheetViews>
  <sheetFormatPr baseColWidth="10" defaultColWidth="12.5703125" defaultRowHeight="15.75" customHeight="1"/>
  <cols>
    <col min="1" max="1" width="17.5703125" customWidth="1"/>
    <col min="2" max="2" width="85.42578125" customWidth="1"/>
  </cols>
  <sheetData>
    <row r="1" spans="1:2" ht="219" customHeight="1">
      <c r="A1" s="73" t="s">
        <v>0</v>
      </c>
      <c r="B1" s="74"/>
    </row>
    <row r="2" spans="1:2" ht="12.75">
      <c r="A2" s="1" t="s">
        <v>1</v>
      </c>
      <c r="B2" s="2" t="s">
        <v>2</v>
      </c>
    </row>
    <row r="3" spans="1:2" ht="12.75">
      <c r="A3" s="3" t="s">
        <v>3</v>
      </c>
      <c r="B3" s="4" t="s">
        <v>4</v>
      </c>
    </row>
    <row r="4" spans="1:2" ht="12.75">
      <c r="A4" s="3" t="s">
        <v>5</v>
      </c>
      <c r="B4" s="4" t="s">
        <v>6</v>
      </c>
    </row>
    <row r="5" spans="1:2" ht="12.75">
      <c r="A5" s="3" t="s">
        <v>7</v>
      </c>
      <c r="B5" s="4" t="s">
        <v>8</v>
      </c>
    </row>
    <row r="6" spans="1:2" ht="12.75">
      <c r="A6" s="3" t="s">
        <v>9</v>
      </c>
      <c r="B6" s="4" t="s">
        <v>10</v>
      </c>
    </row>
    <row r="7" spans="1:2" ht="12.75">
      <c r="A7" s="3" t="s">
        <v>11</v>
      </c>
      <c r="B7" s="4" t="s">
        <v>12</v>
      </c>
    </row>
    <row r="8" spans="1:2" ht="12.75">
      <c r="A8" s="3" t="s">
        <v>13</v>
      </c>
      <c r="B8" s="4" t="s">
        <v>14</v>
      </c>
    </row>
    <row r="9" spans="1:2" ht="12.75">
      <c r="A9" s="3" t="s">
        <v>15</v>
      </c>
      <c r="B9" s="4" t="s">
        <v>16</v>
      </c>
    </row>
    <row r="10" spans="1:2" ht="12.75">
      <c r="A10" s="5" t="s">
        <v>17</v>
      </c>
      <c r="B10" s="6" t="s">
        <v>18</v>
      </c>
    </row>
  </sheetData>
  <mergeCells count="1">
    <mergeCell ref="A1:B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Q373"/>
  <sheetViews>
    <sheetView tabSelected="1" workbookViewId="0">
      <pane xSplit="6" ySplit="1" topLeftCell="G116" activePane="bottomRight" state="frozen"/>
      <selection pane="topRight" activeCell="G1" sqref="G1"/>
      <selection pane="bottomLeft" activeCell="A2" sqref="A2"/>
      <selection pane="bottomRight" activeCell="D120" sqref="D120"/>
    </sheetView>
  </sheetViews>
  <sheetFormatPr baseColWidth="10" defaultColWidth="12.5703125" defaultRowHeight="15.75" customHeight="1"/>
  <cols>
    <col min="1" max="1" width="5.7109375" customWidth="1"/>
    <col min="2" max="2" width="9.42578125" customWidth="1"/>
    <col min="3" max="3" width="11.42578125" customWidth="1"/>
    <col min="4" max="4" width="12.5703125" customWidth="1"/>
    <col min="5" max="5" width="18.140625" customWidth="1"/>
    <col min="6" max="6" width="32.42578125" customWidth="1"/>
    <col min="7" max="7" width="93.85546875" customWidth="1"/>
    <col min="8" max="8" width="76.140625" customWidth="1"/>
    <col min="9" max="10" width="93.85546875" customWidth="1"/>
    <col min="11" max="11" width="75.7109375" customWidth="1"/>
    <col min="12" max="12" width="93.85546875" customWidth="1"/>
    <col min="13" max="15" width="73.28515625" customWidth="1"/>
    <col min="16" max="16" width="62.28515625" customWidth="1"/>
    <col min="17" max="17" width="73.28515625" customWidth="1"/>
  </cols>
  <sheetData>
    <row r="1" spans="1:17" ht="56.25" customHeight="1">
      <c r="A1" s="7" t="s">
        <v>19</v>
      </c>
      <c r="B1" s="7" t="s">
        <v>20</v>
      </c>
      <c r="C1" s="7" t="s">
        <v>21</v>
      </c>
      <c r="D1" s="7" t="s">
        <v>22</v>
      </c>
      <c r="E1" s="7" t="s">
        <v>23</v>
      </c>
      <c r="F1" s="7" t="s">
        <v>24</v>
      </c>
      <c r="G1" s="7" t="s">
        <v>25</v>
      </c>
      <c r="H1" s="7" t="s">
        <v>26</v>
      </c>
      <c r="I1" s="8" t="s">
        <v>27</v>
      </c>
      <c r="J1" s="8" t="s">
        <v>28</v>
      </c>
      <c r="K1" s="8" t="s">
        <v>29</v>
      </c>
      <c r="L1" s="8" t="s">
        <v>30</v>
      </c>
      <c r="M1" s="8" t="s">
        <v>31</v>
      </c>
      <c r="N1" s="8" t="s">
        <v>32</v>
      </c>
      <c r="O1" s="8" t="s">
        <v>33</v>
      </c>
      <c r="P1" s="8" t="s">
        <v>34</v>
      </c>
      <c r="Q1" s="8" t="s">
        <v>35</v>
      </c>
    </row>
    <row r="2" spans="1:17" ht="395.25">
      <c r="A2" s="9" t="e">
        <f ca="1">MATCH(B2,UNIQUE($B$2:$B$1010),0)-1 &amp; ", " &amp; COUNTIF($B$2:B2,B2)-1</f>
        <v>#NAME?</v>
      </c>
      <c r="B2" s="10" t="s">
        <v>36</v>
      </c>
      <c r="C2" s="10" t="s">
        <v>37</v>
      </c>
      <c r="D2" s="10" t="s">
        <v>38</v>
      </c>
      <c r="E2" s="11"/>
      <c r="F2" s="11" t="str">
        <f t="shared" ref="F2:F258" si="0">H2</f>
        <v>Hey there! I’m PROF. FENNEL.{NEW}As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wrong!{NEW}I think that’s everything… whenever you’re ready to start, just let me know!</v>
      </c>
      <c r="G2" s="11" t="s">
        <v>39</v>
      </c>
      <c r="H2" s="11" t="s">
        <v>40</v>
      </c>
      <c r="I2" s="11" t="s">
        <v>41</v>
      </c>
      <c r="J2" s="11"/>
      <c r="K2" s="11" t="s">
        <v>42</v>
      </c>
      <c r="L2" s="11"/>
      <c r="M2" s="11" t="s">
        <v>43</v>
      </c>
      <c r="N2" s="11" t="s">
        <v>44</v>
      </c>
      <c r="O2" s="11"/>
      <c r="P2" s="11"/>
      <c r="Q2" s="11" t="s">
        <v>45</v>
      </c>
    </row>
    <row r="3" spans="1:17" ht="63.75">
      <c r="A3" s="10" t="e">
        <f ca="1">MATCH(B3,UNIQUE($B$2:$B$1010),0)-1 &amp; ", " &amp; COUNTIF($B$2:B3,B3)-1</f>
        <v>#NAME?</v>
      </c>
      <c r="B3" s="10" t="s">
        <v>36</v>
      </c>
      <c r="C3" s="10" t="s">
        <v>46</v>
      </c>
      <c r="D3" s="10" t="s">
        <v>38</v>
      </c>
      <c r="E3" s="11"/>
      <c r="F3" s="11" t="str">
        <f t="shared" si="0"/>
        <v>Hi TRAINER!{NEW}{NEW}I’m thrilled you’ve decided to help with our research, but we need the best of the best! Come back after you become CHAMPION!</v>
      </c>
      <c r="G3" s="11" t="s">
        <v>47</v>
      </c>
      <c r="H3" s="11" t="s">
        <v>48</v>
      </c>
      <c r="I3" s="11" t="s">
        <v>49</v>
      </c>
      <c r="J3" s="11"/>
      <c r="K3" s="11" t="s">
        <v>50</v>
      </c>
      <c r="L3" s="11"/>
      <c r="M3" s="11" t="s">
        <v>51</v>
      </c>
      <c r="N3" s="11" t="s">
        <v>52</v>
      </c>
      <c r="O3" s="11"/>
      <c r="P3" s="11"/>
      <c r="Q3" s="11" t="s">
        <v>53</v>
      </c>
    </row>
    <row r="4" spans="1:17" ht="102">
      <c r="A4" s="10" t="e">
        <f ca="1">MATCH(B4,UNIQUE($B$2:$B$1010),0)-1 &amp; ", " &amp; COUNTIF($B$2:B4,B4)-1</f>
        <v>#NAME?</v>
      </c>
      <c r="B4" s="10" t="s">
        <v>36</v>
      </c>
      <c r="C4" s="10" t="s">
        <v>54</v>
      </c>
      <c r="D4" s="10" t="s">
        <v>38</v>
      </c>
      <c r="E4" s="12" t="s">
        <v>55</v>
      </c>
      <c r="F4" s="11" t="str">
        <f t="shared" si="0"/>
        <v>Sorry TRAINER, one more thing to take care of before we can begin- you need to enable MYSTERY GIFT! Head to the nearest POKé MART and fill out the questionnaire as follows: LINK TOGETHER WITH ALL. After that, you should be all set to go! See you soon!</v>
      </c>
      <c r="G4" s="11" t="s">
        <v>56</v>
      </c>
      <c r="H4" s="11" t="s">
        <v>57</v>
      </c>
      <c r="I4" s="11" t="s">
        <v>58</v>
      </c>
      <c r="J4" s="11"/>
      <c r="K4" s="11" t="s">
        <v>59</v>
      </c>
      <c r="L4" s="11"/>
      <c r="M4" s="11" t="s">
        <v>60</v>
      </c>
      <c r="N4" s="11"/>
      <c r="O4" s="11"/>
      <c r="P4" s="11"/>
      <c r="Q4" s="11" t="s">
        <v>61</v>
      </c>
    </row>
    <row r="5" spans="1:17" ht="114.75">
      <c r="A5" s="10" t="e">
        <f ca="1">MATCH(B5,UNIQUE($B$2:$B$1010),0)-1 &amp; ", " &amp; COUNTIF($B$2:B5,B5)-1</f>
        <v>#NAME?</v>
      </c>
      <c r="B5" s="10" t="s">
        <v>36</v>
      </c>
      <c r="C5" s="10" t="s">
        <v>62</v>
      </c>
      <c r="D5" s="10" t="s">
        <v>38</v>
      </c>
      <c r="E5" s="12" t="s">
        <v>63</v>
      </c>
      <c r="F5" s="11" t="str">
        <f t="shared" si="0"/>
        <v>Sorry TRAINER, one more thing to take care of before we can begin- you need to enable MYSTERY EVENT! Head to the PETALBURG POKéMON CENTER and tell the man next to the PC: MYSTERY EVENT IS EXCITING. After that, you should be all set to go! See you soon!</v>
      </c>
      <c r="G5" s="11" t="s">
        <v>64</v>
      </c>
      <c r="H5" s="11" t="s">
        <v>65</v>
      </c>
      <c r="I5" s="11" t="s">
        <v>66</v>
      </c>
      <c r="J5" s="11"/>
      <c r="K5" s="11" t="s">
        <v>67</v>
      </c>
      <c r="L5" s="11"/>
      <c r="M5" s="11" t="s">
        <v>68</v>
      </c>
      <c r="N5" s="11"/>
      <c r="O5" s="11"/>
      <c r="P5" s="11"/>
      <c r="Q5" s="11" t="s">
        <v>69</v>
      </c>
    </row>
    <row r="6" spans="1:17" ht="25.5">
      <c r="A6" s="10" t="e">
        <f ca="1">MATCH(B6,UNIQUE($B$2:$B$1010),0)-1 &amp; ", " &amp; COUNTIF($B$2:B6,B6)-1</f>
        <v>#NAME?</v>
      </c>
      <c r="B6" s="10" t="s">
        <v>36</v>
      </c>
      <c r="C6" s="10" t="s">
        <v>70</v>
      </c>
      <c r="D6" s="10" t="s">
        <v>38</v>
      </c>
      <c r="E6" s="11"/>
      <c r="F6" s="11" t="str">
        <f t="shared" si="0"/>
        <v>Perfect, that’s all the information I need! Let’s get started!</v>
      </c>
      <c r="G6" s="11" t="s">
        <v>71</v>
      </c>
      <c r="H6" s="11" t="s">
        <v>72</v>
      </c>
      <c r="I6" s="11" t="s">
        <v>73</v>
      </c>
      <c r="J6" s="11"/>
      <c r="K6" s="11" t="s">
        <v>74</v>
      </c>
      <c r="L6" s="11"/>
      <c r="M6" s="11" t="s">
        <v>75</v>
      </c>
      <c r="N6" s="11"/>
      <c r="O6" s="11"/>
      <c r="P6" s="11"/>
      <c r="Q6" s="11" t="s">
        <v>76</v>
      </c>
    </row>
    <row r="7" spans="1:17" ht="114.75">
      <c r="A7" s="10" t="e">
        <f ca="1">MATCH(B7,UNIQUE($B$2:$B$1010),0)-1 &amp; ", " &amp; COUNTIF($B$2:B7,B7)-1</f>
        <v>#NAME?</v>
      </c>
      <c r="B7" s="10" t="s">
        <v>36</v>
      </c>
      <c r="C7" s="10" t="s">
        <v>77</v>
      </c>
      <c r="D7" s="10" t="s">
        <v>38</v>
      </c>
      <c r="E7" s="11"/>
      <c r="F7" s="11" t="str">
        <f t="shared" si="0"/>
        <v>On a second Game Boy, please load the game you wish to transfer from. In this same game, make sure your current BOX is the one you want to transfer from. Then connect the systems together using a Game Boy Color Link Cable. Once you’re ready, talk to the Cable Club attendant and initiate the connection.</v>
      </c>
      <c r="G7" s="11" t="s">
        <v>78</v>
      </c>
      <c r="H7" s="11" t="s">
        <v>79</v>
      </c>
      <c r="I7" s="11" t="s">
        <v>80</v>
      </c>
      <c r="J7" s="11"/>
      <c r="K7" s="11" t="s">
        <v>81</v>
      </c>
      <c r="L7" s="11"/>
      <c r="M7" s="11" t="s">
        <v>82</v>
      </c>
      <c r="N7" s="11"/>
      <c r="O7" s="11"/>
      <c r="P7" s="11"/>
      <c r="Q7" s="11" t="s">
        <v>83</v>
      </c>
    </row>
    <row r="8" spans="1:17" ht="25.5">
      <c r="A8" s="10" t="e">
        <f ca="1">MATCH(B8,UNIQUE($B$2:$B$1010),0)-1 &amp; ", " &amp; COUNTIF($B$2:B8,B8)-1</f>
        <v>#NAME?</v>
      </c>
      <c r="B8" s="10" t="s">
        <v>36</v>
      </c>
      <c r="C8" s="10" t="s">
        <v>84</v>
      </c>
      <c r="D8" s="10" t="s">
        <v>38</v>
      </c>
      <c r="E8" s="11"/>
      <c r="F8" s="11" t="str">
        <f t="shared" si="0"/>
        <v>Amazing! Fantastic!{NEW}Everything went perfectly!</v>
      </c>
      <c r="G8" s="11" t="s">
        <v>85</v>
      </c>
      <c r="H8" s="11" t="s">
        <v>86</v>
      </c>
      <c r="I8" s="11" t="s">
        <v>87</v>
      </c>
      <c r="J8" s="11"/>
      <c r="K8" s="11" t="s">
        <v>88</v>
      </c>
      <c r="L8" s="11"/>
      <c r="M8" s="11" t="s">
        <v>89</v>
      </c>
      <c r="N8" s="11"/>
      <c r="O8" s="11"/>
      <c r="P8" s="11"/>
      <c r="Q8" s="11" t="s">
        <v>90</v>
      </c>
    </row>
    <row r="9" spans="1:17" ht="63.75">
      <c r="A9" s="10" t="e">
        <f ca="1">MATCH(B9,UNIQUE($B$2:$B$1010),0)-1 &amp; ", " &amp; COUNTIF($B$2:B9,B9)-1</f>
        <v>#NAME?</v>
      </c>
      <c r="B9" s="10" t="s">
        <v>36</v>
      </c>
      <c r="C9" s="10" t="s">
        <v>91</v>
      </c>
      <c r="D9" s="10" t="s">
        <v>38</v>
      </c>
      <c r="E9" s="11"/>
      <c r="F9" s="11" t="str">
        <f t="shared" si="0"/>
        <v>It looks like there’s at least one new POKéMON here that isn’t in the DREAM DEX! I’ll give them something extra sweet as a reward for you both.</v>
      </c>
      <c r="G9" s="11" t="s">
        <v>92</v>
      </c>
      <c r="H9" s="11" t="s">
        <v>93</v>
      </c>
      <c r="I9" s="11" t="s">
        <v>94</v>
      </c>
      <c r="J9" s="11"/>
      <c r="K9" s="11" t="s">
        <v>95</v>
      </c>
      <c r="L9" s="11"/>
      <c r="M9" s="11" t="s">
        <v>96</v>
      </c>
      <c r="N9" s="11"/>
      <c r="O9" s="11"/>
      <c r="P9" s="11"/>
      <c r="Q9" s="11" t="s">
        <v>97</v>
      </c>
    </row>
    <row r="10" spans="1:17" ht="51">
      <c r="A10" s="10" t="e">
        <f ca="1">MATCH(B10,UNIQUE($B$2:$B$1010),0)-1 &amp; ", " &amp; COUNTIF($B$2:B10,B10)-1</f>
        <v>#NAME?</v>
      </c>
      <c r="B10" s="10" t="s">
        <v>36</v>
      </c>
      <c r="C10" s="10" t="s">
        <v>98</v>
      </c>
      <c r="D10" s="10" t="s">
        <v>38</v>
      </c>
      <c r="E10" s="11"/>
      <c r="F10" s="11" t="str">
        <f t="shared" si="0"/>
        <v>It doesn’t look like there’s anything new for your DREAM DEX, but that’s okay! It’s important to confirm research results with multiple tests!</v>
      </c>
      <c r="G10" s="11" t="s">
        <v>99</v>
      </c>
      <c r="H10" s="11" t="s">
        <v>100</v>
      </c>
      <c r="I10" s="11" t="s">
        <v>101</v>
      </c>
      <c r="J10" s="11"/>
      <c r="K10" s="11" t="s">
        <v>102</v>
      </c>
      <c r="L10" s="11"/>
      <c r="M10" s="11" t="s">
        <v>103</v>
      </c>
      <c r="N10" s="11"/>
      <c r="O10" s="11"/>
      <c r="P10" s="11"/>
      <c r="Q10" s="11" t="s">
        <v>104</v>
      </c>
    </row>
    <row r="11" spans="1:17" ht="63.75">
      <c r="A11" s="10" t="e">
        <f ca="1">MATCH(B11,UNIQUE($B$2:$B$1010),0)-1 &amp; ", " &amp; COUNTIF($B$2:B11,B11)-1</f>
        <v>#NAME?</v>
      </c>
      <c r="B11" s="10" t="s">
        <v>36</v>
      </c>
      <c r="C11" s="10" t="s">
        <v>105</v>
      </c>
      <c r="D11" s="10" t="s">
        <v>38</v>
      </c>
      <c r="E11" s="11"/>
      <c r="F11" s="11" t="str">
        <f t="shared" si="0"/>
        <v>I’m going to send these POKéMON to one of my friends so that you can pick them up! They live just south of the POKéMON CENTER on SEVEN ISLAND!</v>
      </c>
      <c r="G11" s="11" t="s">
        <v>106</v>
      </c>
      <c r="H11" s="11" t="s">
        <v>107</v>
      </c>
      <c r="I11" s="11" t="s">
        <v>108</v>
      </c>
      <c r="J11" s="11"/>
      <c r="K11" s="11" t="s">
        <v>109</v>
      </c>
      <c r="L11" s="11"/>
      <c r="M11" s="11" t="s">
        <v>110</v>
      </c>
      <c r="N11" s="11"/>
      <c r="O11" s="11"/>
      <c r="P11" s="11"/>
      <c r="Q11" s="11" t="s">
        <v>111</v>
      </c>
    </row>
    <row r="12" spans="1:17" ht="63.75">
      <c r="A12" s="10" t="e">
        <f ca="1">MATCH(B12,UNIQUE($B$2:$B$1010),0)-1 &amp; ", " &amp; COUNTIF($B$2:B12,B12)-1</f>
        <v>#NAME?</v>
      </c>
      <c r="B12" s="10" t="s">
        <v>36</v>
      </c>
      <c r="C12" s="10" t="s">
        <v>112</v>
      </c>
      <c r="D12" s="10" t="s">
        <v>38</v>
      </c>
      <c r="E12" s="11"/>
      <c r="F12" s="11" t="str">
        <f t="shared" si="0"/>
        <v>I’m going to send these POKéMON to one of my friends so that you can pick them up! They live just southeast of the POKéMON CENTER in MOSSDEEP CITY!</v>
      </c>
      <c r="G12" s="11" t="s">
        <v>113</v>
      </c>
      <c r="H12" s="11" t="s">
        <v>114</v>
      </c>
      <c r="I12" s="11" t="s">
        <v>115</v>
      </c>
      <c r="J12" s="11"/>
      <c r="K12" s="11" t="s">
        <v>116</v>
      </c>
      <c r="L12" s="11"/>
      <c r="M12" s="11" t="s">
        <v>117</v>
      </c>
      <c r="N12" s="11"/>
      <c r="O12" s="11"/>
      <c r="P12" s="11"/>
      <c r="Q12" s="11" t="s">
        <v>118</v>
      </c>
    </row>
    <row r="13" spans="1:17" ht="63.75">
      <c r="A13" s="10" t="e">
        <f ca="1">MATCH(B13,UNIQUE($B$2:$B$1010),0)-1 &amp; ", " &amp; COUNTIF($B$2:B13,B13)-1</f>
        <v>#NAME?</v>
      </c>
      <c r="B13" s="10" t="s">
        <v>36</v>
      </c>
      <c r="C13" s="10" t="s">
        <v>119</v>
      </c>
      <c r="D13" s="10" t="s">
        <v>38</v>
      </c>
      <c r="E13" s="11"/>
      <c r="F13" s="11" t="str">
        <f t="shared" si="0"/>
        <v>I’m going to send these POKéMON to one of my friends so that you can pick them up! They live just southeast of the POKéMON CENTER in SOOTOPOLIS CITY!</v>
      </c>
      <c r="G13" s="11" t="s">
        <v>120</v>
      </c>
      <c r="H13" s="11" t="s">
        <v>121</v>
      </c>
      <c r="I13" s="11" t="s">
        <v>122</v>
      </c>
      <c r="J13" s="11"/>
      <c r="K13" s="11" t="s">
        <v>123</v>
      </c>
      <c r="L13" s="11"/>
      <c r="M13" s="11" t="s">
        <v>124</v>
      </c>
      <c r="N13" s="11"/>
      <c r="O13" s="11"/>
      <c r="P13" s="11"/>
      <c r="Q13" s="11" t="s">
        <v>125</v>
      </c>
    </row>
    <row r="14" spans="1:17" ht="51">
      <c r="A14" s="10" t="e">
        <f ca="1">MATCH(B14,UNIQUE($B$2:$B$1010),0)-1 &amp; ", " &amp; COUNTIF($B$2:B14,B14)-1</f>
        <v>#NAME?</v>
      </c>
      <c r="B14" s="10" t="s">
        <v>36</v>
      </c>
      <c r="C14" s="10" t="s">
        <v>126</v>
      </c>
      <c r="D14" s="10" t="s">
        <v>38</v>
      </c>
      <c r="E14" s="11"/>
      <c r="F14" s="11" t="str">
        <f t="shared" si="0"/>
        <v>Thank you so much for your help! Whenever you want to transfer more POKéMON, just let me know! See you around!</v>
      </c>
      <c r="G14" s="11" t="s">
        <v>127</v>
      </c>
      <c r="H14" s="11" t="s">
        <v>128</v>
      </c>
      <c r="I14" s="11" t="s">
        <v>129</v>
      </c>
      <c r="J14" s="11"/>
      <c r="K14" s="11" t="s">
        <v>130</v>
      </c>
      <c r="L14" s="11"/>
      <c r="M14" s="11" t="s">
        <v>131</v>
      </c>
      <c r="N14" s="11"/>
      <c r="O14" s="11"/>
      <c r="P14" s="11"/>
      <c r="Q14" s="11" t="s">
        <v>132</v>
      </c>
    </row>
    <row r="15" spans="1:17" ht="25.5">
      <c r="A15" s="10" t="e">
        <f ca="1">MATCH(B15,UNIQUE($B$2:$B$1010),0)-1 &amp; ", " &amp; COUNTIF($B$2:B15,B15)-1</f>
        <v>#NAME?</v>
      </c>
      <c r="B15" s="10" t="s">
        <v>36</v>
      </c>
      <c r="C15" s="10" t="s">
        <v>133</v>
      </c>
      <c r="D15" s="10" t="s">
        <v>38</v>
      </c>
      <c r="E15" s="11"/>
      <c r="F15" s="11" t="str">
        <f t="shared" si="0"/>
        <v>unused, will be removed</v>
      </c>
      <c r="G15" s="11" t="s">
        <v>134</v>
      </c>
      <c r="H15" s="11" t="s">
        <v>135</v>
      </c>
      <c r="I15" s="11" t="s">
        <v>136</v>
      </c>
      <c r="J15" s="11"/>
      <c r="K15" s="11"/>
      <c r="L15" s="11"/>
      <c r="M15" s="11" t="s">
        <v>137</v>
      </c>
      <c r="N15" s="11"/>
      <c r="O15" s="11"/>
      <c r="P15" s="11"/>
      <c r="Q15" s="11" t="s">
        <v>134</v>
      </c>
    </row>
    <row r="16" spans="1:17" ht="89.25">
      <c r="A16" s="10" t="e">
        <f ca="1">MATCH(B16,UNIQUE($B$2:$B$1010),0)-1 &amp; ", " &amp; COUNTIF($B$2:B16,B16)-1</f>
        <v>#NAME?</v>
      </c>
      <c r="B16" s="10" t="s">
        <v>36</v>
      </c>
      <c r="C16" s="10" t="s">
        <v>138</v>
      </c>
      <c r="D16" s="10" t="s">
        <v>38</v>
      </c>
      <c r="E16" s="11"/>
      <c r="F16" s="11" t="str">
        <f t="shared" si="0"/>
        <v>Hi TRAINER!{NEW}{NEW}It looks like you have a different event currently loaded. That’s no problem, but it will be overwritten if you continue. Turn off the system now if you want to experience your current event, but otherwise-</v>
      </c>
      <c r="G16" s="11" t="s">
        <v>139</v>
      </c>
      <c r="H16" s="11" t="s">
        <v>140</v>
      </c>
      <c r="I16" s="11" t="s">
        <v>141</v>
      </c>
      <c r="J16" s="11"/>
      <c r="K16" s="11" t="s">
        <v>142</v>
      </c>
      <c r="L16" s="11"/>
      <c r="M16" s="11" t="s">
        <v>143</v>
      </c>
      <c r="N16" s="11"/>
      <c r="O16" s="11"/>
      <c r="P16" s="11"/>
      <c r="Q16" s="11" t="s">
        <v>144</v>
      </c>
    </row>
    <row r="17" spans="1:17" ht="76.5">
      <c r="A17" s="10" t="e">
        <f ca="1">MATCH(B17,UNIQUE($B$2:$B$1010),0)-1 &amp; ", " &amp; COUNTIF($B$2:B17,B17)-1</f>
        <v>#NAME?</v>
      </c>
      <c r="B17" s="10" t="s">
        <v>36</v>
      </c>
      <c r="C17" s="10" t="s">
        <v>145</v>
      </c>
      <c r="D17" s="10" t="s">
        <v>38</v>
      </c>
      <c r="E17" s="11"/>
      <c r="F17" s="11" t="str">
        <f t="shared" si="0"/>
        <v>Hi TRAINER!{NEW}{NEW}It looks like you still have POKéMON to pick up…{NEW}I can’t send over new POKéMON until you pick those up.{NEW}Come back after you’ve received them!</v>
      </c>
      <c r="G17" s="11" t="s">
        <v>146</v>
      </c>
      <c r="H17" s="11" t="s">
        <v>147</v>
      </c>
      <c r="I17" s="11" t="s">
        <v>148</v>
      </c>
      <c r="J17" s="11"/>
      <c r="K17" s="11" t="s">
        <v>149</v>
      </c>
      <c r="L17" s="11"/>
      <c r="M17" s="11" t="s">
        <v>150</v>
      </c>
      <c r="N17" s="11"/>
      <c r="O17" s="11"/>
      <c r="P17" s="11"/>
      <c r="Q17" s="11" t="s">
        <v>151</v>
      </c>
    </row>
    <row r="18" spans="1:17" ht="63.75">
      <c r="A18" s="10" t="e">
        <f ca="1">MATCH(B18,UNIQUE($B$2:$B$1010),0)-1 &amp; ", " &amp; COUNTIF($B$2:B18,B18)-1</f>
        <v>#NAME?</v>
      </c>
      <c r="B18" s="10" t="s">
        <v>36</v>
      </c>
      <c r="C18" s="10" t="s">
        <v>152</v>
      </c>
      <c r="D18" s="10" t="s">
        <v>38</v>
      </c>
      <c r="E18" s="11"/>
      <c r="F18" s="11" t="str">
        <f t="shared" si="0"/>
        <v>Sorry TRAINER, it doesn’t look like you have any valid POKéMON in your current active BOX right now. Go double check the BOX and we can give it another shot!</v>
      </c>
      <c r="G18" s="11" t="s">
        <v>153</v>
      </c>
      <c r="H18" s="11" t="s">
        <v>154</v>
      </c>
      <c r="I18" s="11" t="s">
        <v>155</v>
      </c>
      <c r="J18" s="11"/>
      <c r="K18" s="11" t="s">
        <v>156</v>
      </c>
      <c r="L18" s="11"/>
      <c r="M18" s="11" t="s">
        <v>157</v>
      </c>
      <c r="N18" s="11"/>
      <c r="O18" s="11"/>
      <c r="P18" s="11"/>
      <c r="Q18" s="11" t="s">
        <v>158</v>
      </c>
    </row>
    <row r="19" spans="1:17" ht="38.25">
      <c r="A19" s="10" t="e">
        <f ca="1">MATCH(B19,UNIQUE($B$2:$B$1010),0)-1 &amp; ", " &amp; COUNTIF($B$2:B19,B19)-1</f>
        <v>#NAME?</v>
      </c>
      <c r="B19" s="10" t="s">
        <v>36</v>
      </c>
      <c r="C19" s="10" t="s">
        <v>159</v>
      </c>
      <c r="D19" s="10" t="s">
        <v>38</v>
      </c>
      <c r="E19" s="11"/>
      <c r="F19" s="11" t="str">
        <f t="shared" si="0"/>
        <v>Hi TRAINER!{NEW}{NEW}Before we begin, I need to ask you a few questions.</v>
      </c>
      <c r="G19" s="11" t="s">
        <v>160</v>
      </c>
      <c r="H19" s="11" t="s">
        <v>161</v>
      </c>
      <c r="I19" s="11" t="s">
        <v>162</v>
      </c>
      <c r="J19" s="11"/>
      <c r="K19" s="11" t="s">
        <v>163</v>
      </c>
      <c r="L19" s="11"/>
      <c r="M19" s="11" t="s">
        <v>164</v>
      </c>
      <c r="N19" s="11"/>
      <c r="O19" s="11"/>
      <c r="P19" s="11"/>
      <c r="Q19" s="11" t="s">
        <v>165</v>
      </c>
    </row>
    <row r="20" spans="1:17" ht="38.25">
      <c r="A20" s="10" t="e">
        <f ca="1">MATCH(B20,UNIQUE($B$2:$B$1010),0)-1 &amp; ", " &amp; COUNTIF($B$2:B20,B20)-1</f>
        <v>#NAME?</v>
      </c>
      <c r="B20" s="10" t="s">
        <v>36</v>
      </c>
      <c r="C20" s="10" t="s">
        <v>166</v>
      </c>
      <c r="D20" s="10" t="s">
        <v>38</v>
      </c>
      <c r="E20" s="11"/>
      <c r="F20" s="11" t="str">
        <f t="shared" si="0"/>
        <v>Perfect!{NEW}And which game is it?</v>
      </c>
      <c r="G20" s="11" t="s">
        <v>167</v>
      </c>
      <c r="H20" s="11" t="s">
        <v>168</v>
      </c>
      <c r="I20" s="11" t="s">
        <v>169</v>
      </c>
      <c r="J20" s="11"/>
      <c r="K20" s="11" t="s">
        <v>170</v>
      </c>
      <c r="L20" s="11"/>
      <c r="M20" s="11" t="s">
        <v>171</v>
      </c>
      <c r="N20" s="11"/>
      <c r="O20" s="11"/>
      <c r="P20" s="11"/>
      <c r="Q20" s="11" t="s">
        <v>172</v>
      </c>
    </row>
    <row r="21" spans="1:17" ht="38.25">
      <c r="A21" s="10" t="e">
        <f ca="1">MATCH(B21,UNIQUE($B$2:$B$1010),0)-1 &amp; ", " &amp; COUNTIF($B$2:B21,B21)-1</f>
        <v>#NAME?</v>
      </c>
      <c r="B21" s="10" t="s">
        <v>36</v>
      </c>
      <c r="C21" s="10" t="s">
        <v>173</v>
      </c>
      <c r="D21" s="10" t="s">
        <v>38</v>
      </c>
      <c r="E21" s="11"/>
      <c r="F21" s="11" t="str">
        <f t="shared" si="0"/>
        <v>First, what language is the Game Boy game you’re transferring from?</v>
      </c>
      <c r="G21" s="11" t="s">
        <v>174</v>
      </c>
      <c r="H21" s="11" t="s">
        <v>175</v>
      </c>
      <c r="I21" s="11" t="s">
        <v>176</v>
      </c>
      <c r="J21" s="11"/>
      <c r="K21" s="11" t="s">
        <v>177</v>
      </c>
      <c r="L21" s="11"/>
      <c r="M21" s="11" t="s">
        <v>178</v>
      </c>
      <c r="N21" s="11"/>
      <c r="O21" s="11"/>
      <c r="P21" s="11"/>
      <c r="Q21" s="11" t="s">
        <v>179</v>
      </c>
    </row>
    <row r="22" spans="1:17" ht="25.5">
      <c r="A22" s="10" t="e">
        <f ca="1">MATCH(B22,UNIQUE($B$2:$B$1010),0)-1 &amp; ", " &amp; COUNTIF($B$2:B22,B22)-1</f>
        <v>#NAME?</v>
      </c>
      <c r="B22" s="10" t="s">
        <v>36</v>
      </c>
      <c r="C22" s="10" t="s">
        <v>180</v>
      </c>
      <c r="D22" s="10" t="s">
        <v>38</v>
      </c>
      <c r="E22" s="11"/>
      <c r="F22" s="11" t="str">
        <f t="shared" si="0"/>
        <v>I’m sorry, but that version in that language is not currently supported.</v>
      </c>
      <c r="G22" s="11" t="s">
        <v>181</v>
      </c>
      <c r="H22" s="11" t="s">
        <v>182</v>
      </c>
      <c r="I22" s="11" t="s">
        <v>183</v>
      </c>
      <c r="J22" s="11"/>
      <c r="K22" s="11" t="s">
        <v>184</v>
      </c>
      <c r="L22" s="11"/>
      <c r="M22" s="11" t="s">
        <v>185</v>
      </c>
      <c r="N22" s="11"/>
      <c r="O22" s="11"/>
      <c r="P22" s="11"/>
      <c r="Q22" s="11" t="s">
        <v>186</v>
      </c>
    </row>
    <row r="23" spans="1:17" ht="102">
      <c r="A23" s="10" t="e">
        <f ca="1">MATCH(B23,UNIQUE($B$2:$B$1010),0)-1 &amp; ", " &amp; COUNTIF($B$2:B23,B23)-1</f>
        <v>#NAME?</v>
      </c>
      <c r="B23" s="10" t="s">
        <v>36</v>
      </c>
      <c r="C23" s="10" t="s">
        <v>187</v>
      </c>
      <c r="D23" s="10" t="s">
        <v>38</v>
      </c>
      <c r="E23" s="11"/>
      <c r="F23" s="11" t="str">
        <f t="shared" si="0"/>
        <v>Alright! Let’s take a look at the POKéMON that will be transfered. Please remember, once a POKéMON is transfered, it CANNOT be returned to its game of origin. Select “CONFIRM” once you’re ready, or select “CANCEL” if you changed your mind.</v>
      </c>
      <c r="G23" s="11" t="s">
        <v>188</v>
      </c>
      <c r="H23" s="11" t="s">
        <v>189</v>
      </c>
      <c r="I23" s="11" t="s">
        <v>190</v>
      </c>
      <c r="J23" s="11"/>
      <c r="K23" s="11" t="s">
        <v>191</v>
      </c>
      <c r="L23" s="11"/>
      <c r="M23" s="11" t="s">
        <v>192</v>
      </c>
      <c r="N23" s="11"/>
      <c r="O23" s="11"/>
      <c r="P23" s="11"/>
      <c r="Q23" s="11" t="s">
        <v>193</v>
      </c>
    </row>
    <row r="24" spans="1:17" ht="165.75">
      <c r="A24" s="10" t="e">
        <f ca="1">MATCH(B24,UNIQUE($B$2:$B$1010),0)-1 &amp; ", " &amp; COUNTIF($B$2:B24,B24)-1</f>
        <v>#NAME?</v>
      </c>
      <c r="B24" s="10" t="s">
        <v>36</v>
      </c>
      <c r="C24" s="10" t="s">
        <v>194</v>
      </c>
      <c r="D24" s="10" t="s">
        <v>38</v>
      </c>
      <c r="E24" s="11"/>
      <c r="F24" s="11" t="str">
        <f t="shared" si="0"/>
        <v>It looks like you have a rare mythical POKéMON! Due to their rarity, it seems they’ve overloaded the machine. I can stablize them if you’d like, but it’ll change some things like met location, OT, TID, and Shininess. Otherwise I can leave them as is, but there’s no guarantee that they’ll be transferrable in the future. Do you want me to stablize them?{NEW}This will apply to all of the mythical POKéMON currently in your BOX.</v>
      </c>
      <c r="G24" s="11" t="s">
        <v>195</v>
      </c>
      <c r="H24" s="11" t="s">
        <v>196</v>
      </c>
      <c r="I24" s="11" t="s">
        <v>197</v>
      </c>
      <c r="J24" s="11"/>
      <c r="K24" s="11" t="s">
        <v>198</v>
      </c>
      <c r="L24" s="11"/>
      <c r="M24" s="11" t="s">
        <v>199</v>
      </c>
      <c r="N24" s="11"/>
      <c r="O24" s="11"/>
      <c r="P24" s="11"/>
      <c r="Q24" s="11" t="s">
        <v>200</v>
      </c>
    </row>
    <row r="25" spans="1:17" ht="38.25">
      <c r="A25" s="10" t="e">
        <f ca="1">MATCH(B25,UNIQUE($B$2:$B$1010),0)-1 &amp; ", " &amp; COUNTIF($B$2:B25,B25)-1</f>
        <v>#NAME?</v>
      </c>
      <c r="B25" s="10" t="s">
        <v>36</v>
      </c>
      <c r="C25" s="10" t="s">
        <v>201</v>
      </c>
      <c r="D25" s="10" t="s">
        <v>38</v>
      </c>
      <c r="E25" s="11"/>
      <c r="F25" s="11" t="str">
        <f t="shared" si="0"/>
        <v>No worries! Feel free to come back if you change your mind! See you around!</v>
      </c>
      <c r="G25" s="11" t="s">
        <v>202</v>
      </c>
      <c r="H25" s="11" t="s">
        <v>203</v>
      </c>
      <c r="I25" s="11" t="s">
        <v>204</v>
      </c>
      <c r="J25" s="11"/>
      <c r="K25" s="11" t="s">
        <v>205</v>
      </c>
      <c r="L25" s="11"/>
      <c r="M25" s="11" t="s">
        <v>206</v>
      </c>
      <c r="N25" s="11"/>
      <c r="O25" s="11"/>
      <c r="P25" s="11"/>
      <c r="Q25" s="11" t="s">
        <v>207</v>
      </c>
    </row>
    <row r="26" spans="1:17" ht="89.25">
      <c r="A26" s="10" t="e">
        <f ca="1">MATCH(B26,UNIQUE($B$2:$B$1010),0)-1 &amp; ", " &amp; COUNTIF($B$2:B26,B26)-1</f>
        <v>#NAME?</v>
      </c>
      <c r="B26" s="10" t="s">
        <v>36</v>
      </c>
      <c r="C26" s="10" t="s">
        <v>208</v>
      </c>
      <c r="D26" s="10" t="s">
        <v>38</v>
      </c>
      <c r="E26" s="11"/>
      <c r="F26" s="11" t="str">
        <f t="shared" si="0"/>
        <v>I see there is at least one POKéMON that cannot be transferred from your current BOX. POKéMON holding items or modified incorrectly through unintended means cannot be transferred. The other POKéMON will transfer just fine though!</v>
      </c>
      <c r="G26" s="11" t="s">
        <v>209</v>
      </c>
      <c r="H26" s="11" t="s">
        <v>210</v>
      </c>
      <c r="I26" s="11" t="s">
        <v>211</v>
      </c>
      <c r="J26" s="11"/>
      <c r="K26" s="11" t="s">
        <v>212</v>
      </c>
      <c r="L26" s="11"/>
      <c r="M26" s="11" t="s">
        <v>213</v>
      </c>
      <c r="N26" s="11"/>
      <c r="O26" s="11"/>
      <c r="P26" s="11"/>
      <c r="Q26" s="11" t="s">
        <v>214</v>
      </c>
    </row>
    <row r="27" spans="1:17" ht="25.5">
      <c r="A27" s="10" t="e">
        <f ca="1">MATCH(B27,UNIQUE($B$2:$B$1010),0)-1 &amp; ", " &amp; COUNTIF($B$2:B27,B27)-1</f>
        <v>#NAME?</v>
      </c>
      <c r="B27" s="10" t="s">
        <v>36</v>
      </c>
      <c r="C27" s="10" t="s">
        <v>215</v>
      </c>
      <c r="D27" s="10" t="s">
        <v>38</v>
      </c>
      <c r="E27" s="11"/>
      <c r="F27" s="11" t="str">
        <f t="shared" si="0"/>
        <v>No worries!{NEW}Feel free to come back any time!</v>
      </c>
      <c r="G27" s="11" t="s">
        <v>216</v>
      </c>
      <c r="H27" s="11" t="s">
        <v>217</v>
      </c>
      <c r="I27" s="11" t="s">
        <v>218</v>
      </c>
      <c r="J27" s="11"/>
      <c r="K27" s="11" t="s">
        <v>219</v>
      </c>
      <c r="L27" s="11"/>
      <c r="M27" s="11" t="s">
        <v>220</v>
      </c>
      <c r="N27" s="11"/>
      <c r="O27" s="11"/>
      <c r="P27" s="11"/>
      <c r="Q27" s="11" t="s">
        <v>221</v>
      </c>
    </row>
    <row r="28" spans="1:17" ht="51">
      <c r="A28" s="10" t="e">
        <f ca="1">MATCH(B28,UNIQUE($B$2:$B$1010),0)-1 &amp; ", " &amp; COUNTIF($B$2:B28,B28)-1</f>
        <v>#NAME?</v>
      </c>
      <c r="B28" s="10" t="s">
        <v>36</v>
      </c>
      <c r="C28" s="10" t="s">
        <v>222</v>
      </c>
      <c r="D28" s="10" t="s">
        <v>38</v>
      </c>
      <c r="E28" s="11"/>
      <c r="F28" s="11" t="str">
        <f t="shared" si="0"/>
        <v>…It seems like one of your POKéMON is messing with the machine! It looks to only be graphical though, so we can continue!</v>
      </c>
      <c r="G28" s="11" t="s">
        <v>223</v>
      </c>
      <c r="H28" s="11" t="s">
        <v>224</v>
      </c>
      <c r="I28" s="11" t="s">
        <v>225</v>
      </c>
      <c r="J28" s="11"/>
      <c r="K28" s="11" t="s">
        <v>226</v>
      </c>
      <c r="L28" s="11"/>
      <c r="M28" s="11" t="s">
        <v>227</v>
      </c>
      <c r="N28" s="11"/>
      <c r="O28" s="11"/>
      <c r="P28" s="11"/>
      <c r="Q28" s="11" t="s">
        <v>228</v>
      </c>
    </row>
    <row r="29" spans="1:17" ht="38.25">
      <c r="A29" s="10" t="e">
        <f ca="1">MATCH(B29,UNIQUE($B$2:$B$1010),0)-1 &amp; ", " &amp; COUNTIF($B$2:B29,B29)-1</f>
        <v>#NAME?</v>
      </c>
      <c r="B29" s="10" t="s">
        <v>36</v>
      </c>
      <c r="C29" s="10" t="s">
        <v>229</v>
      </c>
      <c r="D29" s="10" t="s">
        <v>38</v>
      </c>
      <c r="E29" s="11"/>
      <c r="F29" s="11" t="str">
        <f t="shared" si="0"/>
        <v>It looks like you went to the colosseum instead of the trading room!{NEW}Let’s try that again!</v>
      </c>
      <c r="G29" s="11" t="s">
        <v>230</v>
      </c>
      <c r="H29" s="11" t="s">
        <v>231</v>
      </c>
      <c r="I29" s="11" t="s">
        <v>232</v>
      </c>
      <c r="J29" s="11"/>
      <c r="K29" s="11" t="s">
        <v>233</v>
      </c>
      <c r="L29" s="11"/>
      <c r="M29" s="11" t="s">
        <v>234</v>
      </c>
      <c r="N29" s="11"/>
      <c r="O29" s="11"/>
      <c r="P29" s="11"/>
      <c r="Q29" s="11" t="s">
        <v>235</v>
      </c>
    </row>
    <row r="30" spans="1:17" ht="38.25">
      <c r="A30" s="10" t="e">
        <f ca="1">MATCH(B30,UNIQUE($B$2:$B$1010),0)-1 &amp; ", " &amp; COUNTIF($B$2:B30,B30)-1</f>
        <v>#NAME?</v>
      </c>
      <c r="B30" s="10" t="s">
        <v>36</v>
      </c>
      <c r="C30" s="10" t="s">
        <v>236</v>
      </c>
      <c r="D30" s="10" t="s">
        <v>38</v>
      </c>
      <c r="E30" s="11"/>
      <c r="F30" s="11" t="str">
        <f t="shared" si="0"/>
        <v>Communication with the other device was terminated.{NEW}Let’s try that again!</v>
      </c>
      <c r="G30" s="11" t="s">
        <v>237</v>
      </c>
      <c r="H30" s="11" t="s">
        <v>238</v>
      </c>
      <c r="I30" s="11" t="s">
        <v>239</v>
      </c>
      <c r="J30" s="11"/>
      <c r="K30" s="11" t="s">
        <v>240</v>
      </c>
      <c r="L30" s="11"/>
      <c r="M30" s="11" t="s">
        <v>241</v>
      </c>
      <c r="N30" s="11"/>
      <c r="O30" s="11"/>
      <c r="P30" s="11"/>
      <c r="Q30" s="11" t="s">
        <v>242</v>
      </c>
    </row>
    <row r="31" spans="1:17" ht="51">
      <c r="A31" s="10" t="e">
        <f ca="1">MATCH(B31,UNIQUE($B$2:$B$1010),0)-1 &amp; ", " &amp; COUNTIF($B$2:B31,B31)-1</f>
        <v>#NAME?</v>
      </c>
      <c r="B31" s="10" t="s">
        <v>36</v>
      </c>
      <c r="C31" s="10" t="s">
        <v>243</v>
      </c>
      <c r="D31" s="10" t="s">
        <v>38</v>
      </c>
      <c r="E31" s="11"/>
      <c r="F31" s="11" t="str">
        <f t="shared" si="0"/>
        <v>It looks like the Game Boy Color Link Cable was disconnected…{NEW}Let’s try that again!</v>
      </c>
      <c r="G31" s="11" t="s">
        <v>244</v>
      </c>
      <c r="H31" s="11" t="s">
        <v>245</v>
      </c>
      <c r="I31" s="11" t="s">
        <v>246</v>
      </c>
      <c r="J31" s="11"/>
      <c r="K31" s="11" t="s">
        <v>247</v>
      </c>
      <c r="L31" s="11"/>
      <c r="M31" s="11" t="s">
        <v>248</v>
      </c>
      <c r="N31" s="11"/>
      <c r="O31" s="11"/>
      <c r="P31" s="11"/>
      <c r="Q31" s="11" t="s">
        <v>249</v>
      </c>
    </row>
    <row r="32" spans="1:17" ht="38.25">
      <c r="A32" s="10" t="e">
        <f ca="1">MATCH(B32,UNIQUE($B$2:$B$1010),0)-1 &amp; ", " &amp; COUNTIF($B$2:B32,B32)-1</f>
        <v>#NAME?</v>
      </c>
      <c r="B32" s="10" t="s">
        <v>36</v>
      </c>
      <c r="C32" s="10" t="s">
        <v>250</v>
      </c>
      <c r="D32" s="10" t="s">
        <v>38</v>
      </c>
      <c r="E32" s="11"/>
      <c r="F32" s="11" t="str">
        <f t="shared" si="0"/>
        <v>It looks like the connection timed out…{NEW}Let’s try that again!</v>
      </c>
      <c r="G32" s="11" t="s">
        <v>251</v>
      </c>
      <c r="H32" s="11" t="s">
        <v>252</v>
      </c>
      <c r="I32" s="11" t="s">
        <v>253</v>
      </c>
      <c r="J32" s="11"/>
      <c r="K32" s="11" t="s">
        <v>254</v>
      </c>
      <c r="L32" s="11"/>
      <c r="M32" s="11" t="s">
        <v>255</v>
      </c>
      <c r="N32" s="11"/>
      <c r="O32" s="11"/>
      <c r="P32" s="11"/>
      <c r="Q32" s="11" t="s">
        <v>256</v>
      </c>
    </row>
    <row r="33" spans="1:17" ht="38.25">
      <c r="A33" s="10" t="e">
        <f ca="1">MATCH(B33,UNIQUE($B$2:$B$1010),0)-1 &amp; ", " &amp; COUNTIF($B$2:B33,B33)-1</f>
        <v>#NAME?</v>
      </c>
      <c r="B33" s="10" t="s">
        <v>36</v>
      </c>
      <c r="C33" s="10" t="s">
        <v>257</v>
      </c>
      <c r="D33" s="10" t="s">
        <v>38</v>
      </c>
      <c r="E33" s="11"/>
      <c r="F33" s="11" t="str">
        <f t="shared" si="0"/>
        <v>It seems like the connection timed out…{NEW}Let’s try that again!</v>
      </c>
      <c r="G33" s="11" t="s">
        <v>258</v>
      </c>
      <c r="H33" s="11" t="s">
        <v>259</v>
      </c>
      <c r="I33" s="11" t="s">
        <v>253</v>
      </c>
      <c r="J33" s="11"/>
      <c r="K33" s="11" t="s">
        <v>254</v>
      </c>
      <c r="L33" s="11"/>
      <c r="M33" s="11" t="s">
        <v>260</v>
      </c>
      <c r="N33" s="11"/>
      <c r="O33" s="11"/>
      <c r="P33" s="11"/>
      <c r="Q33" s="11" t="s">
        <v>256</v>
      </c>
    </row>
    <row r="34" spans="1:17" ht="38.25">
      <c r="A34" s="10" t="e">
        <f ca="1">MATCH(B34,UNIQUE($B$2:$B$1010),0)-1 &amp; ", " &amp; COUNTIF($B$2:B34,B34)-1</f>
        <v>#NAME?</v>
      </c>
      <c r="B34" s="10" t="s">
        <v>36</v>
      </c>
      <c r="C34" s="10" t="s">
        <v>261</v>
      </c>
      <c r="D34" s="10" t="s">
        <v>38</v>
      </c>
      <c r="E34" s="11"/>
      <c r="F34" s="11" t="str">
        <f t="shared" si="0"/>
        <v>What language is the Game Boy POKéMON game that you want to send an event to?</v>
      </c>
      <c r="G34" s="11" t="s">
        <v>262</v>
      </c>
      <c r="H34" s="11" t="s">
        <v>263</v>
      </c>
      <c r="I34" s="11" t="s">
        <v>264</v>
      </c>
      <c r="J34" s="11"/>
      <c r="K34" s="11" t="s">
        <v>265</v>
      </c>
      <c r="L34" s="11"/>
      <c r="M34" s="11" t="s">
        <v>266</v>
      </c>
      <c r="N34" s="11"/>
      <c r="O34" s="11"/>
      <c r="P34" s="11"/>
      <c r="Q34" s="11" t="s">
        <v>267</v>
      </c>
    </row>
    <row r="35" spans="1:17" ht="38.25">
      <c r="A35" s="10" t="e">
        <f ca="1">MATCH(B35,UNIQUE($B$2:$B$1010),0)-1 &amp; ", " &amp; COUNTIF($B$2:B35,B35)-1</f>
        <v>#NAME?</v>
      </c>
      <c r="B35" s="10" t="s">
        <v>36</v>
      </c>
      <c r="C35" s="10" t="s">
        <v>268</v>
      </c>
      <c r="D35" s="10" t="s">
        <v>38</v>
      </c>
      <c r="E35" s="11"/>
      <c r="F35" s="11" t="str">
        <f t="shared" si="0"/>
        <v>And which Game Boy POKéMON game do you want to send an event to?</v>
      </c>
      <c r="G35" s="11" t="s">
        <v>269</v>
      </c>
      <c r="H35" s="11" t="s">
        <v>270</v>
      </c>
      <c r="I35" s="11" t="s">
        <v>271</v>
      </c>
      <c r="J35" s="11"/>
      <c r="K35" s="11" t="s">
        <v>272</v>
      </c>
      <c r="L35" s="11"/>
      <c r="M35" s="11" t="s">
        <v>273</v>
      </c>
      <c r="N35" s="11"/>
      <c r="O35" s="11"/>
      <c r="P35" s="11"/>
      <c r="Q35" s="11" t="s">
        <v>274</v>
      </c>
    </row>
    <row r="36" spans="1:17" ht="63.75">
      <c r="A36" s="10" t="e">
        <f ca="1">MATCH(B36,UNIQUE($B$2:$B$1010),0)-1 &amp; ", " &amp; COUNTIF($B$2:B36,B36)-1</f>
        <v>#NAME?</v>
      </c>
      <c r="B36" s="10" t="s">
        <v>36</v>
      </c>
      <c r="C36" s="10" t="s">
        <v>275</v>
      </c>
      <c r="D36" s="10" t="s">
        <v>38</v>
      </c>
      <c r="E36" s="11"/>
      <c r="F36" s="11" t="str">
        <f t="shared" si="0"/>
        <v>Sorry TRAINER, it looks like you haven’t caught all 150 POKéMON from the KANTO region yet. Go out and catch them all and then we’ll be able to send over the event!</v>
      </c>
      <c r="G36" s="11" t="s">
        <v>276</v>
      </c>
      <c r="H36" s="11" t="s">
        <v>277</v>
      </c>
      <c r="I36" s="11" t="s">
        <v>278</v>
      </c>
      <c r="J36" s="11"/>
      <c r="K36" s="11" t="s">
        <v>279</v>
      </c>
      <c r="L36" s="11"/>
      <c r="M36" s="11" t="s">
        <v>280</v>
      </c>
      <c r="N36" s="11"/>
      <c r="O36" s="11"/>
      <c r="P36" s="11"/>
      <c r="Q36" s="11" t="s">
        <v>281</v>
      </c>
    </row>
    <row r="37" spans="1:17" ht="63.75">
      <c r="A37" s="10" t="e">
        <f ca="1">MATCH(B37,UNIQUE($B$2:$B$1010),0)-1 &amp; ", " &amp; COUNTIF($B$2:B37,B37)-1</f>
        <v>#NAME?</v>
      </c>
      <c r="B37" s="10" t="s">
        <v>36</v>
      </c>
      <c r="C37" s="10" t="s">
        <v>282</v>
      </c>
      <c r="D37" s="10" t="s">
        <v>38</v>
      </c>
      <c r="E37" s="11"/>
      <c r="F37" s="11" t="str">
        <f t="shared" si="0"/>
        <v>Sorry TRAINER, it looks like you haven’t caught all 99 new POKéMON from the JOHTO region yet. Go out and catch them all and then we’ll be able to send over the event!</v>
      </c>
      <c r="G37" s="11" t="s">
        <v>283</v>
      </c>
      <c r="H37" s="11" t="s">
        <v>284</v>
      </c>
      <c r="I37" s="11" t="s">
        <v>285</v>
      </c>
      <c r="J37" s="11"/>
      <c r="K37" s="11" t="s">
        <v>286</v>
      </c>
      <c r="L37" s="11"/>
      <c r="M37" s="11" t="s">
        <v>287</v>
      </c>
      <c r="N37" s="11"/>
      <c r="O37" s="11"/>
      <c r="P37" s="11"/>
      <c r="Q37" s="11" t="s">
        <v>288</v>
      </c>
    </row>
    <row r="38" spans="1:17" ht="25.5">
      <c r="A38" s="13" t="e">
        <f ca="1">MATCH(B38,UNIQUE($B$2:$B$1010),0)-1 &amp; ", " &amp; COUNTIF($B$2:B38,B38)-1</f>
        <v>#NAME?</v>
      </c>
      <c r="B38" s="13" t="s">
        <v>289</v>
      </c>
      <c r="C38" s="13" t="s">
        <v>290</v>
      </c>
      <c r="D38" s="14" t="s">
        <v>291</v>
      </c>
      <c r="E38" s="14"/>
      <c r="F38" s="14" t="str">
        <f t="shared" si="0"/>
        <v>When I was young, I traveled the world as a POKéMON TRAINER.</v>
      </c>
      <c r="G38" s="14" t="s">
        <v>292</v>
      </c>
      <c r="H38" s="14" t="s">
        <v>293</v>
      </c>
      <c r="I38" s="14" t="s">
        <v>294</v>
      </c>
      <c r="J38" s="14" t="s">
        <v>295</v>
      </c>
      <c r="K38" s="14" t="s">
        <v>296</v>
      </c>
      <c r="L38" s="14" t="s">
        <v>297</v>
      </c>
      <c r="M38" s="14" t="s">
        <v>298</v>
      </c>
      <c r="N38" s="15"/>
      <c r="O38" s="15"/>
      <c r="P38" s="15"/>
      <c r="Q38" s="14" t="s">
        <v>299</v>
      </c>
    </row>
    <row r="39" spans="1:17" ht="25.5">
      <c r="A39" s="13" t="e">
        <f ca="1">MATCH(B39,UNIQUE($B$2:$B$1010),0)-1 &amp; ", " &amp; COUNTIF($B$2:B39,B39)-1</f>
        <v>#NAME?</v>
      </c>
      <c r="B39" s="13" t="s">
        <v>289</v>
      </c>
      <c r="C39" s="13" t="s">
        <v>300</v>
      </c>
      <c r="D39" s="14" t="s">
        <v>291</v>
      </c>
      <c r="E39" s="14"/>
      <c r="F39" s="14" t="str">
        <f t="shared" si="0"/>
        <v>I may not look like much now,{NEW}but when I was younger…</v>
      </c>
      <c r="G39" s="14" t="s">
        <v>301</v>
      </c>
      <c r="H39" s="14" t="s">
        <v>302</v>
      </c>
      <c r="I39" s="14" t="s">
        <v>303</v>
      </c>
      <c r="J39" s="14" t="s">
        <v>304</v>
      </c>
      <c r="K39" s="14" t="s">
        <v>305</v>
      </c>
      <c r="L39" s="14" t="s">
        <v>306</v>
      </c>
      <c r="M39" s="14" t="s">
        <v>307</v>
      </c>
      <c r="N39" s="15"/>
      <c r="O39" s="15"/>
      <c r="P39" s="15"/>
      <c r="Q39" s="14" t="s">
        <v>308</v>
      </c>
    </row>
    <row r="40" spans="1:17" ht="25.5">
      <c r="A40" s="13" t="e">
        <f ca="1">MATCH(B40,UNIQUE($B$2:$B$1010),0)-1 &amp; ", " &amp; COUNTIF($B$2:B40,B40)-1</f>
        <v>#NAME?</v>
      </c>
      <c r="B40" s="13" t="s">
        <v>289</v>
      </c>
      <c r="C40" s="13" t="s">
        <v>309</v>
      </c>
      <c r="D40" s="14" t="s">
        <v>291</v>
      </c>
      <c r="E40" s="14"/>
      <c r="F40" s="14" t="str">
        <f t="shared" si="0"/>
        <v>Oh, of course, I have to unlock{NEW}the door!</v>
      </c>
      <c r="G40" s="14" t="s">
        <v>310</v>
      </c>
      <c r="H40" s="14" t="s">
        <v>311</v>
      </c>
      <c r="I40" s="14" t="s">
        <v>312</v>
      </c>
      <c r="J40" s="14"/>
      <c r="K40" s="14" t="s">
        <v>313</v>
      </c>
      <c r="L40" s="14"/>
      <c r="M40" s="14" t="s">
        <v>314</v>
      </c>
      <c r="N40" s="15"/>
      <c r="O40" s="15"/>
      <c r="P40" s="15"/>
      <c r="Q40" s="14" t="s">
        <v>315</v>
      </c>
    </row>
    <row r="41" spans="1:17" ht="25.5">
      <c r="A41" s="13" t="e">
        <f ca="1">MATCH(B41,UNIQUE($B$2:$B$1010),0)-1 &amp; ", " &amp; COUNTIF($B$2:B41,B41)-1</f>
        <v>#NAME?</v>
      </c>
      <c r="B41" s="13" t="s">
        <v>289</v>
      </c>
      <c r="C41" s="13" t="s">
        <v>316</v>
      </c>
      <c r="D41" s="14" t="s">
        <v>291</v>
      </c>
      <c r="E41" s="14"/>
      <c r="F41" s="14" t="str">
        <f t="shared" si="0"/>
        <v>{MLE}Oh, of course, I have to move{NEW}the boxes!</v>
      </c>
      <c r="G41" s="14" t="s">
        <v>317</v>
      </c>
      <c r="H41" s="14" t="s">
        <v>318</v>
      </c>
      <c r="I41" s="14" t="s">
        <v>319</v>
      </c>
      <c r="J41" s="14"/>
      <c r="K41" s="14" t="s">
        <v>320</v>
      </c>
      <c r="L41" s="14"/>
      <c r="M41" s="14" t="s">
        <v>321</v>
      </c>
      <c r="N41" s="15"/>
      <c r="O41" s="15"/>
      <c r="P41" s="15"/>
      <c r="Q41" s="14" t="s">
        <v>322</v>
      </c>
    </row>
    <row r="42" spans="1:17" ht="25.5">
      <c r="A42" s="13" t="e">
        <f ca="1">MATCH(B42,UNIQUE($B$2:$B$1010),0)-1 &amp; ", " &amp; COUNTIF($B$2:B42,B42)-1</f>
        <v>#NAME?</v>
      </c>
      <c r="B42" s="13" t="s">
        <v>289</v>
      </c>
      <c r="C42" s="13" t="s">
        <v>323</v>
      </c>
      <c r="D42" s="14" t="s">
        <v>291</v>
      </c>
      <c r="E42" s="14"/>
      <c r="F42" s="14" t="str">
        <f t="shared" si="0"/>
        <v>{MLE}Oh, of course, I have to move{NEW}the plants!</v>
      </c>
      <c r="G42" s="14" t="s">
        <v>324</v>
      </c>
      <c r="H42" s="14" t="s">
        <v>325</v>
      </c>
      <c r="I42" s="14" t="s">
        <v>326</v>
      </c>
      <c r="J42" s="14"/>
      <c r="K42" s="14" t="s">
        <v>327</v>
      </c>
      <c r="L42" s="14"/>
      <c r="M42" s="14" t="s">
        <v>328</v>
      </c>
      <c r="N42" s="15"/>
      <c r="O42" s="15"/>
      <c r="P42" s="15"/>
      <c r="Q42" s="14" t="s">
        <v>329</v>
      </c>
    </row>
    <row r="43" spans="1:17" ht="76.5">
      <c r="A43" s="13" t="e">
        <f ca="1">MATCH(B43,UNIQUE($B$2:$B$1010),0)-1 &amp; ", " &amp; COUNTIF($B$2:B43,B43)-1</f>
        <v>#NAME?</v>
      </c>
      <c r="B43" s="13" t="s">
        <v>289</v>
      </c>
      <c r="C43" s="13" t="s">
        <v>330</v>
      </c>
      <c r="D43" s="14" t="s">
        <v>291</v>
      </c>
      <c r="E43" s="14"/>
      <c r="F43" s="14" t="str">
        <f t="shared" si="0"/>
        <v>LOOKER: I am here in HOENN to find the leader {VLN}.{CLR}As well, I am helping my friend{NEW}PROF. FENNEL.{CLR}This is why you are here, no?{NEW}I shall tell her you are ready.{SCL}Come! Allons-y!</v>
      </c>
      <c r="G43" s="14" t="s">
        <v>331</v>
      </c>
      <c r="H43" s="14" t="s">
        <v>332</v>
      </c>
      <c r="I43" s="14" t="s">
        <v>333</v>
      </c>
      <c r="J43" s="14"/>
      <c r="K43" s="14" t="s">
        <v>334</v>
      </c>
      <c r="L43" s="14"/>
      <c r="M43" s="14" t="s">
        <v>335</v>
      </c>
      <c r="N43" s="15"/>
      <c r="O43" s="15"/>
      <c r="P43" s="15"/>
      <c r="Q43" s="14" t="s">
        <v>336</v>
      </c>
    </row>
    <row r="44" spans="1:17" ht="89.25">
      <c r="A44" s="13" t="e">
        <f ca="1">MATCH(B44,UNIQUE($B$2:$B$1010),0)-1 &amp; ", " &amp; COUNTIF($B$2:B44,B44)-1</f>
        <v>#NAME?</v>
      </c>
      <c r="B44" s="13" t="s">
        <v>289</v>
      </c>
      <c r="C44" s="13" t="s">
        <v>337</v>
      </c>
      <c r="D44" s="14" t="s">
        <v>291</v>
      </c>
      <c r="E44" s="14"/>
      <c r="F44" s="14" t="str">
        <f t="shared" si="0"/>
        <v>{MLE}LOOKER: I am here in KANTO to find the leader GIOVANNI.{CLR}As well, I am helping my friend{NEW}PROF. FENNEL.{CLR}This is why you are here, no?{NEW}I shall tell her you are ready.{SCL}Come! Allons-y!</v>
      </c>
      <c r="G44" s="14" t="s">
        <v>338</v>
      </c>
      <c r="H44" s="14" t="s">
        <v>339</v>
      </c>
      <c r="I44" s="14" t="s">
        <v>340</v>
      </c>
      <c r="J44" s="14"/>
      <c r="K44" s="14" t="s">
        <v>341</v>
      </c>
      <c r="L44" s="14"/>
      <c r="M44" s="14" t="s">
        <v>342</v>
      </c>
      <c r="N44" s="15"/>
      <c r="O44" s="15"/>
      <c r="P44" s="15"/>
      <c r="Q44" s="14" t="s">
        <v>343</v>
      </c>
    </row>
    <row r="45" spans="1:17" ht="89.25">
      <c r="A45" s="13" t="e">
        <f ca="1">MATCH(B45,UNIQUE($B$2:$B$1010),0)-1 &amp; ", " &amp; COUNTIF($B$2:B45,B45)-1</f>
        <v>#NAME?</v>
      </c>
      <c r="B45" s="13" t="s">
        <v>289</v>
      </c>
      <c r="C45" s="13" t="s">
        <v>344</v>
      </c>
      <c r="D45" s="14" t="s">
        <v>291</v>
      </c>
      <c r="E45" s="14" t="s">
        <v>345</v>
      </c>
      <c r="F45" s="14" t="str">
        <f t="shared" si="0"/>
        <v>{MLE}LOOKER: I am here in HOENN to find the leaders {VLN2} and {VLN}.{CLR}As well, I am helping my friend PROF. FENNEL.{CLR}This is why you are here, no?{NEW}I shall tell her you are ready.{SCL}Come! Allons-y!</v>
      </c>
      <c r="G45" s="14" t="s">
        <v>346</v>
      </c>
      <c r="H45" s="14" t="s">
        <v>347</v>
      </c>
      <c r="I45" s="14" t="s">
        <v>348</v>
      </c>
      <c r="J45" s="14"/>
      <c r="K45" s="14" t="s">
        <v>349</v>
      </c>
      <c r="L45" s="14"/>
      <c r="M45" s="14" t="s">
        <v>350</v>
      </c>
      <c r="N45" s="15"/>
      <c r="O45" s="15"/>
      <c r="P45" s="15"/>
      <c r="Q45" s="14" t="s">
        <v>351</v>
      </c>
    </row>
    <row r="46" spans="1:17" ht="25.5">
      <c r="A46" s="13" t="e">
        <f ca="1">MATCH(B46,UNIQUE($B$2:$B$1010),0)-1 &amp; ", " &amp; COUNTIF($B$2:B46,B46)-1</f>
        <v>#NAME?</v>
      </c>
      <c r="B46" s="13" t="s">
        <v>289</v>
      </c>
      <c r="C46" s="13" t="s">
        <v>352</v>
      </c>
      <c r="D46" s="14" t="s">
        <v>291</v>
      </c>
      <c r="E46" s="14"/>
      <c r="F46" s="14" t="str">
        <f t="shared" si="0"/>
        <v>{PLR}’s POKéMON were{NEW}sent to the PC!</v>
      </c>
      <c r="G46" s="14" t="s">
        <v>353</v>
      </c>
      <c r="H46" s="14" t="s">
        <v>354</v>
      </c>
      <c r="I46" s="14" t="s">
        <v>355</v>
      </c>
      <c r="J46" s="14"/>
      <c r="K46" s="14" t="s">
        <v>356</v>
      </c>
      <c r="L46" s="14"/>
      <c r="M46" s="14" t="s">
        <v>357</v>
      </c>
      <c r="N46" s="15"/>
      <c r="O46" s="15"/>
      <c r="P46" s="15"/>
      <c r="Q46" s="14" t="s">
        <v>358</v>
      </c>
    </row>
    <row r="47" spans="1:17" ht="25.5">
      <c r="A47" s="13" t="e">
        <f ca="1">MATCH(B47,UNIQUE($B$2:$B$1010),0)-1 &amp; ", " &amp; COUNTIF($B$2:B47,B47)-1</f>
        <v>#NAME?</v>
      </c>
      <c r="B47" s="13" t="s">
        <v>289</v>
      </c>
      <c r="C47" s="13" t="s">
        <v>359</v>
      </c>
      <c r="D47" s="14" t="s">
        <v>291</v>
      </c>
      <c r="E47" s="14"/>
      <c r="F47" s="14" t="str">
        <f t="shared" si="0"/>
        <v>{DEF}{PLR}’s POKéMON were{NEW}sent to the PC!</v>
      </c>
      <c r="G47" s="14" t="s">
        <v>360</v>
      </c>
      <c r="H47" s="14" t="s">
        <v>361</v>
      </c>
      <c r="I47" s="14" t="s">
        <v>362</v>
      </c>
      <c r="J47" s="14"/>
      <c r="K47" s="14" t="s">
        <v>363</v>
      </c>
      <c r="L47" s="14"/>
      <c r="M47" s="14" t="s">
        <v>364</v>
      </c>
      <c r="N47" s="15"/>
      <c r="O47" s="15"/>
      <c r="P47" s="15"/>
      <c r="Q47" s="14" t="s">
        <v>365</v>
      </c>
    </row>
    <row r="48" spans="1:17" ht="51">
      <c r="A48" s="13" t="e">
        <f ca="1">MATCH(B48,UNIQUE($B$2:$B$1010),0)-1 &amp; ", " &amp; COUNTIF($B$2:B48,B48)-1</f>
        <v>#NAME?</v>
      </c>
      <c r="B48" s="13" t="s">
        <v>289</v>
      </c>
      <c r="C48" s="13" t="s">
        <v>366</v>
      </c>
      <c r="D48" s="14" t="s">
        <v>291</v>
      </c>
      <c r="E48" s="14"/>
      <c r="F48" s="14" t="str">
        <f t="shared" si="0"/>
        <v>Ah! You must be {PLR}!{NEW}I was told you’d be coming.{CLR}Oh! I still wear my disguise! Pardon! Or, rather, let me introduce myself.</v>
      </c>
      <c r="G48" s="14" t="s">
        <v>367</v>
      </c>
      <c r="H48" s="14" t="s">
        <v>368</v>
      </c>
      <c r="I48" s="14" t="s">
        <v>369</v>
      </c>
      <c r="J48" s="14"/>
      <c r="K48" s="14" t="s">
        <v>370</v>
      </c>
      <c r="L48" s="14"/>
      <c r="M48" s="14" t="s">
        <v>371</v>
      </c>
      <c r="N48" s="15"/>
      <c r="O48" s="15"/>
      <c r="P48" s="15"/>
      <c r="Q48" s="14" t="s">
        <v>372</v>
      </c>
    </row>
    <row r="49" spans="1:17" ht="38.25">
      <c r="A49" s="13" t="e">
        <f ca="1">MATCH(B49,UNIQUE($B$2:$B$1010),0)-1 &amp; ", " &amp; COUNTIF($B$2:B49,B49)-1</f>
        <v>#NAME?</v>
      </c>
      <c r="B49" s="13" t="s">
        <v>289</v>
      </c>
      <c r="C49" s="13" t="s">
        <v>373</v>
      </c>
      <c r="D49" s="14" t="s">
        <v>291</v>
      </c>
      <c r="E49" s="14"/>
      <c r="F49" s="14" t="str">
        <f t="shared" si="0"/>
        <v>Ah, {PLR}! Welcome back! Good to see you again!{CLR}Oh! I still wear my disguise! Pardon!</v>
      </c>
      <c r="G49" s="14" t="s">
        <v>374</v>
      </c>
      <c r="H49" s="14" t="s">
        <v>375</v>
      </c>
      <c r="I49" s="14" t="s">
        <v>376</v>
      </c>
      <c r="J49" s="14"/>
      <c r="K49" s="14" t="s">
        <v>377</v>
      </c>
      <c r="L49" s="14"/>
      <c r="M49" s="14" t="s">
        <v>378</v>
      </c>
      <c r="N49" s="15"/>
      <c r="O49" s="15"/>
      <c r="P49" s="15"/>
      <c r="Q49" s="14" t="s">
        <v>379</v>
      </c>
    </row>
    <row r="50" spans="1:17" ht="63.75">
      <c r="A50" s="13" t="e">
        <f ca="1">MATCH(B50,UNIQUE($B$2:$B$1010),0)-1 &amp; ", " &amp; COUNTIF($B$2:B50,B50)-1</f>
        <v>#NAME?</v>
      </c>
      <c r="B50" s="13" t="s">
        <v>289</v>
      </c>
      <c r="C50" s="13" t="s">
        <v>380</v>
      </c>
      <c r="D50" s="14" t="s">
        <v>291</v>
      </c>
      <c r="E50" s="14"/>
      <c r="F50" s="14" t="str">
        <f t="shared" si="0"/>
        <v>I am a globe-trotting elite of{NEW}the International Police.{CLR}My name…{CLR}Ah, no, I shall inform you of my code name only.{CLR}My code name, it is LOOKER!</v>
      </c>
      <c r="G50" s="14" t="s">
        <v>381</v>
      </c>
      <c r="H50" s="14" t="s">
        <v>382</v>
      </c>
      <c r="I50" s="14" t="s">
        <v>383</v>
      </c>
      <c r="J50" s="14"/>
      <c r="K50" s="14" t="s">
        <v>384</v>
      </c>
      <c r="L50" s="14"/>
      <c r="M50" s="14" t="s">
        <v>385</v>
      </c>
      <c r="N50" s="15"/>
      <c r="O50" s="15"/>
      <c r="P50" s="15"/>
      <c r="Q50" s="14" t="s">
        <v>386</v>
      </c>
    </row>
    <row r="51" spans="1:17" ht="76.5">
      <c r="A51" s="13" t="e">
        <f ca="1">MATCH(B51,UNIQUE($B$2:$B$1010),0)-1 &amp; ", " &amp; COUNTIF($B$2:B51,B51)-1</f>
        <v>#NAME?</v>
      </c>
      <c r="B51" s="13" t="s">
        <v>289</v>
      </c>
      <c r="C51" s="13" t="s">
        <v>387</v>
      </c>
      <c r="D51" s="14" t="s">
        <v>291</v>
      </c>
      <c r="E51" s="14"/>
      <c r="F51" s="14" t="str">
        <f t="shared" si="0"/>
        <v>{MLE}I am a globe-trotting elite of{NEW}the International Police.{CLR}My name…{CLR}Ah, no, I shall inform you of my code name only.{CLR}My code name, it is LOOKER!</v>
      </c>
      <c r="G51" s="14" t="s">
        <v>388</v>
      </c>
      <c r="H51" s="14" t="s">
        <v>389</v>
      </c>
      <c r="I51" s="14" t="s">
        <v>390</v>
      </c>
      <c r="J51" s="14"/>
      <c r="K51" s="14" t="s">
        <v>391</v>
      </c>
      <c r="L51" s="14"/>
      <c r="M51" s="14" t="s">
        <v>392</v>
      </c>
      <c r="N51" s="15"/>
      <c r="O51" s="15"/>
      <c r="P51" s="15"/>
      <c r="Q51" s="14" t="s">
        <v>393</v>
      </c>
    </row>
    <row r="52" spans="1:17" ht="38.25">
      <c r="A52" s="13" t="e">
        <f ca="1">MATCH(B52,UNIQUE($B$2:$B$1010),0)-1 &amp; ", " &amp; COUNTIF($B$2:B52,B52)-1</f>
        <v>#NAME?</v>
      </c>
      <c r="B52" s="13" t="s">
        <v>289</v>
      </c>
      <c r="C52" s="13" t="s">
        <v>394</v>
      </c>
      <c r="D52" s="14" t="s">
        <v>291</v>
      </c>
      <c r="E52" s="14"/>
      <c r="F52" s="14" t="str">
        <f t="shared" si="0"/>
        <v>It is I, globe-trotting elite of{NEW}the International Police.{CLR}My code name, it is LOOKER!</v>
      </c>
      <c r="G52" s="14" t="s">
        <v>395</v>
      </c>
      <c r="H52" s="14" t="s">
        <v>396</v>
      </c>
      <c r="I52" s="14" t="s">
        <v>397</v>
      </c>
      <c r="J52" s="14"/>
      <c r="K52" s="14" t="s">
        <v>398</v>
      </c>
      <c r="L52" s="14"/>
      <c r="M52" s="14" t="s">
        <v>399</v>
      </c>
      <c r="N52" s="15"/>
      <c r="O52" s="15"/>
      <c r="P52" s="15"/>
      <c r="Q52" s="14" t="s">
        <v>400</v>
      </c>
    </row>
    <row r="53" spans="1:17" ht="51">
      <c r="A53" s="13" t="e">
        <f ca="1">MATCH(B53,UNIQUE($B$2:$B$1010),0)-1 &amp; ", " &amp; COUNTIF($B$2:B53,B53)-1</f>
        <v>#NAME?</v>
      </c>
      <c r="B53" s="13" t="s">
        <v>289</v>
      </c>
      <c r="C53" s="13" t="s">
        <v>401</v>
      </c>
      <c r="D53" s="14" t="s">
        <v>291</v>
      </c>
      <c r="E53" s="14"/>
      <c r="F53" s="14" t="str">
        <f t="shared" si="0"/>
        <v>{MLE}It is I, globe-trotting elite of{NEW}the International Police.{CLR}My code name, it is LOOKER!</v>
      </c>
      <c r="G53" s="14" t="s">
        <v>402</v>
      </c>
      <c r="H53" s="14" t="s">
        <v>403</v>
      </c>
      <c r="I53" s="14" t="s">
        <v>404</v>
      </c>
      <c r="J53" s="14"/>
      <c r="K53" s="14" t="s">
        <v>405</v>
      </c>
      <c r="L53" s="14"/>
      <c r="M53" s="14" t="s">
        <v>406</v>
      </c>
      <c r="N53" s="15"/>
      <c r="O53" s="15"/>
      <c r="P53" s="15"/>
      <c r="Q53" s="14" t="s">
        <v>407</v>
      </c>
    </row>
    <row r="54" spans="1:17" ht="76.5">
      <c r="A54" s="13" t="e">
        <f ca="1">MATCH(B54,UNIQUE($B$2:$B$1010),0)-1 &amp; ", " &amp; COUNTIF($B$2:B54,B54)-1</f>
        <v>#NAME?</v>
      </c>
      <c r="B54" s="13" t="s">
        <v>289</v>
      </c>
      <c r="C54" s="13" t="s">
        <v>408</v>
      </c>
      <c r="D54" s="14" t="s">
        <v>291</v>
      </c>
      <c r="E54" s="14"/>
      <c r="F54" s="14" t="str">
        <f t="shared" si="0"/>
        <v>FENNEL: Ah, LOOKER!{NEW}I take it {PLR} has arrived?{CLR}LOOKER: Indeed! They’re ready to receive their POKéMON!{CLR}FENNEL: Excellent! I’ll send them over momentarily… stand by!</v>
      </c>
      <c r="G54" s="14" t="s">
        <v>409</v>
      </c>
      <c r="H54" s="14" t="s">
        <v>410</v>
      </c>
      <c r="I54" s="14" t="s">
        <v>411</v>
      </c>
      <c r="J54" s="14"/>
      <c r="K54" s="14" t="s">
        <v>412</v>
      </c>
      <c r="L54" s="14"/>
      <c r="M54" s="14" t="s">
        <v>413</v>
      </c>
      <c r="N54" s="15"/>
      <c r="O54" s="15"/>
      <c r="P54" s="15"/>
      <c r="Q54" s="14" t="s">
        <v>414</v>
      </c>
    </row>
    <row r="55" spans="1:17" ht="89.25">
      <c r="A55" s="13" t="e">
        <f ca="1">MATCH(B55,UNIQUE($B$2:$B$1010),0)-1 &amp; ", " &amp; COUNTIF($B$2:B55,B55)-1</f>
        <v>#NAME?</v>
      </c>
      <c r="B55" s="13" t="s">
        <v>289</v>
      </c>
      <c r="C55" s="13" t="s">
        <v>415</v>
      </c>
      <c r="D55" s="14" t="s">
        <v>291</v>
      </c>
      <c r="E55" s="14"/>
      <c r="F55" s="14" t="str">
        <f t="shared" si="0"/>
        <v>{FPC}FENNEL: Ah, LOOKER!{NEW}I take it {PLR} has arrived?{CLR}{MLE}LOOKER: Indeed! They’re ready to receive their POKéMON!{CLR}{FPC}FENNEL: Excellent! I’ll send them over momentarily… stand by!</v>
      </c>
      <c r="G55" s="14" t="s">
        <v>416</v>
      </c>
      <c r="H55" s="14" t="s">
        <v>417</v>
      </c>
      <c r="I55" s="14" t="s">
        <v>418</v>
      </c>
      <c r="J55" s="14"/>
      <c r="K55" s="14" t="s">
        <v>419</v>
      </c>
      <c r="L55" s="14"/>
      <c r="M55" s="14" t="s">
        <v>420</v>
      </c>
      <c r="N55" s="15"/>
      <c r="O55" s="15"/>
      <c r="P55" s="15"/>
      <c r="Q55" s="14" t="s">
        <v>421</v>
      </c>
    </row>
    <row r="56" spans="1:17" ht="51">
      <c r="A56" s="13" t="e">
        <f ca="1">MATCH(B56,UNIQUE($B$2:$B$1010),0)-1 &amp; ", " &amp; COUNTIF($B$2:B56,B56)-1</f>
        <v>#NAME?</v>
      </c>
      <c r="B56" s="13" t="s">
        <v>289</v>
      </c>
      <c r="C56" s="13" t="s">
        <v>422</v>
      </c>
      <c r="D56" s="14" t="s">
        <v>291</v>
      </c>
      <c r="E56" s="14"/>
      <c r="F56" s="14" t="str">
        <f t="shared" si="0"/>
        <v>FENNEL: It looks like everything was sent to your PC successfully!{CLR}Thank you both for your help!</v>
      </c>
      <c r="G56" s="14" t="s">
        <v>423</v>
      </c>
      <c r="H56" s="14" t="s">
        <v>424</v>
      </c>
      <c r="I56" s="14" t="s">
        <v>425</v>
      </c>
      <c r="J56" s="14"/>
      <c r="K56" s="14" t="s">
        <v>426</v>
      </c>
      <c r="L56" s="14"/>
      <c r="M56" s="14" t="s">
        <v>427</v>
      </c>
      <c r="N56" s="15"/>
      <c r="O56" s="15"/>
      <c r="P56" s="15"/>
      <c r="Q56" s="14" t="s">
        <v>428</v>
      </c>
    </row>
    <row r="57" spans="1:17" ht="51">
      <c r="A57" s="13" t="e">
        <f ca="1">MATCH(B57,UNIQUE($B$2:$B$1010),0)-1 &amp; ", " &amp; COUNTIF($B$2:B57,B57)-1</f>
        <v>#NAME?</v>
      </c>
      <c r="B57" s="13" t="s">
        <v>289</v>
      </c>
      <c r="C57" s="13" t="s">
        <v>429</v>
      </c>
      <c r="D57" s="14" t="s">
        <v>291</v>
      </c>
      <c r="E57" s="14"/>
      <c r="F57" s="14" t="str">
        <f t="shared" si="0"/>
        <v>{FPC}FENNEL: It looks like everything was sent to your PC successfully!{CLR}Thank you both for your help!</v>
      </c>
      <c r="G57" s="14" t="s">
        <v>430</v>
      </c>
      <c r="H57" s="14" t="s">
        <v>431</v>
      </c>
      <c r="I57" s="14" t="s">
        <v>432</v>
      </c>
      <c r="J57" s="14"/>
      <c r="K57" s="14" t="s">
        <v>433</v>
      </c>
      <c r="L57" s="14"/>
      <c r="M57" s="14" t="s">
        <v>434</v>
      </c>
      <c r="N57" s="15"/>
      <c r="O57" s="15"/>
      <c r="P57" s="15"/>
      <c r="Q57" s="14" t="s">
        <v>435</v>
      </c>
    </row>
    <row r="58" spans="1:17" ht="51">
      <c r="A58" s="13" t="e">
        <f ca="1">MATCH(B58,UNIQUE($B$2:$B$1010),0)-1 &amp; ", " &amp; COUNTIF($B$2:B58,B58)-1</f>
        <v>#NAME?</v>
      </c>
      <c r="B58" s="13" t="s">
        <v>289</v>
      </c>
      <c r="C58" s="13" t="s">
        <v>436</v>
      </c>
      <c r="D58" s="14" t="s">
        <v>291</v>
      </c>
      <c r="E58" s="14"/>
      <c r="F58" s="14" t="str">
        <f t="shared" si="0"/>
        <v>Thanks for stopping by, {PLR}!{CLR}If you’ll excuse me, I must return to my disguise.{SCL}Until our paths cross again!</v>
      </c>
      <c r="G58" s="14" t="s">
        <v>437</v>
      </c>
      <c r="H58" s="14" t="s">
        <v>438</v>
      </c>
      <c r="I58" s="14" t="s">
        <v>439</v>
      </c>
      <c r="J58" s="14"/>
      <c r="K58" s="14" t="s">
        <v>440</v>
      </c>
      <c r="L58" s="14"/>
      <c r="M58" s="14" t="s">
        <v>441</v>
      </c>
      <c r="N58" s="15"/>
      <c r="O58" s="15"/>
      <c r="P58" s="15"/>
      <c r="Q58" s="14" t="s">
        <v>442</v>
      </c>
    </row>
    <row r="59" spans="1:17" ht="63.75">
      <c r="A59" s="13" t="e">
        <f ca="1">MATCH(B59,UNIQUE($B$2:$B$1010),0)-1 &amp; ", " &amp; COUNTIF($B$2:B59,B59)-1</f>
        <v>#NAME?</v>
      </c>
      <c r="B59" s="13" t="s">
        <v>289</v>
      </c>
      <c r="C59" s="13" t="s">
        <v>443</v>
      </c>
      <c r="D59" s="14" t="s">
        <v>291</v>
      </c>
      <c r="E59" s="14"/>
      <c r="F59" s="14" t="str">
        <f t="shared" si="0"/>
        <v>{MLE}Thanks for stopping by, {PLR}!{CLR}If you’ll excuse me, I must return to my disguise.{SCL}Until our paths cross again!</v>
      </c>
      <c r="G59" s="14" t="s">
        <v>444</v>
      </c>
      <c r="H59" s="14" t="s">
        <v>445</v>
      </c>
      <c r="I59" s="14" t="s">
        <v>446</v>
      </c>
      <c r="J59" s="14"/>
      <c r="K59" s="14" t="s">
        <v>447</v>
      </c>
      <c r="L59" s="14"/>
      <c r="M59" s="14" t="s">
        <v>448</v>
      </c>
      <c r="N59" s="15"/>
      <c r="O59" s="15"/>
      <c r="P59" s="15"/>
      <c r="Q59" s="14" t="s">
        <v>449</v>
      </c>
    </row>
    <row r="60" spans="1:17" ht="51">
      <c r="A60" s="13" t="e">
        <f ca="1">MATCH(B60,UNIQUE($B$2:$B$1010),0)-1 &amp; ", " &amp; COUNTIF($B$2:B60,B60)-1</f>
        <v>#NAME?</v>
      </c>
      <c r="B60" s="13" t="s">
        <v>289</v>
      </c>
      <c r="C60" s="13" t="s">
        <v>450</v>
      </c>
      <c r="D60" s="14" t="s">
        <v>291</v>
      </c>
      <c r="E60" s="14"/>
      <c r="F60" s="14" t="str">
        <f t="shared" si="0"/>
        <v>FENNEL: It seems like the PC is full!{CLR}Go make some room, and I can send over the rest of your POKéMON.</v>
      </c>
      <c r="G60" s="14" t="s">
        <v>451</v>
      </c>
      <c r="H60" s="14" t="s">
        <v>452</v>
      </c>
      <c r="I60" s="14" t="s">
        <v>453</v>
      </c>
      <c r="J60" s="14"/>
      <c r="K60" s="14" t="s">
        <v>454</v>
      </c>
      <c r="L60" s="14"/>
      <c r="M60" s="14" t="s">
        <v>455</v>
      </c>
      <c r="N60" s="15"/>
      <c r="O60" s="15"/>
      <c r="P60" s="15"/>
      <c r="Q60" s="14" t="s">
        <v>456</v>
      </c>
    </row>
    <row r="61" spans="1:17" ht="51">
      <c r="A61" s="13" t="e">
        <f ca="1">MATCH(B61,UNIQUE($B$2:$B$1010),0)-1 &amp; ", " &amp; COUNTIF($B$2:B61,B61)-1</f>
        <v>#NAME?</v>
      </c>
      <c r="B61" s="13" t="s">
        <v>289</v>
      </c>
      <c r="C61" s="13" t="s">
        <v>457</v>
      </c>
      <c r="D61" s="14" t="s">
        <v>291</v>
      </c>
      <c r="E61" s="14"/>
      <c r="F61" s="14" t="str">
        <f t="shared" si="0"/>
        <v>{FPC}FENNEL: It seems like the PC is full!{CLR}Go make some room, and I can send over the rest of your POKéMON.</v>
      </c>
      <c r="G61" s="14" t="s">
        <v>458</v>
      </c>
      <c r="H61" s="14" t="s">
        <v>459</v>
      </c>
      <c r="I61" s="14" t="s">
        <v>460</v>
      </c>
      <c r="J61" s="14"/>
      <c r="K61" s="14" t="s">
        <v>461</v>
      </c>
      <c r="L61" s="14"/>
      <c r="M61" s="14" t="s">
        <v>462</v>
      </c>
      <c r="N61" s="15"/>
      <c r="O61" s="15"/>
      <c r="P61" s="15"/>
      <c r="Q61" s="14" t="s">
        <v>463</v>
      </c>
    </row>
    <row r="62" spans="1:17" ht="51">
      <c r="A62" s="13" t="e">
        <f ca="1">MATCH(B62,UNIQUE($B$2:$B$1010),0)-1 &amp; ", " &amp; COUNTIF($B$2:B62,B62)-1</f>
        <v>#NAME?</v>
      </c>
      <c r="B62" s="13" t="s">
        <v>289</v>
      </c>
      <c r="C62" s="13" t="s">
        <v>464</v>
      </c>
      <c r="D62" s="14" t="s">
        <v>291</v>
      </c>
      <c r="E62" s="14"/>
      <c r="F62" s="14" t="str">
        <f t="shared" si="0"/>
        <v>LOOKER: Speak to me again after you’ve made room, {PLR}!{CLR}In the meantime, I will return to my disguise.</v>
      </c>
      <c r="G62" s="14" t="s">
        <v>465</v>
      </c>
      <c r="H62" s="14" t="s">
        <v>466</v>
      </c>
      <c r="I62" s="14" t="s">
        <v>467</v>
      </c>
      <c r="J62" s="14"/>
      <c r="K62" s="14" t="s">
        <v>468</v>
      </c>
      <c r="L62" s="14"/>
      <c r="M62" s="14" t="s">
        <v>469</v>
      </c>
      <c r="N62" s="15"/>
      <c r="O62" s="15"/>
      <c r="P62" s="15"/>
      <c r="Q62" s="14" t="s">
        <v>470</v>
      </c>
    </row>
    <row r="63" spans="1:17" ht="51">
      <c r="A63" s="13" t="e">
        <f ca="1">MATCH(B63,UNIQUE($B$2:$B$1010),0)-1 &amp; ", " &amp; COUNTIF($B$2:B63,B63)-1</f>
        <v>#NAME?</v>
      </c>
      <c r="B63" s="13" t="s">
        <v>289</v>
      </c>
      <c r="C63" s="13" t="s">
        <v>471</v>
      </c>
      <c r="D63" s="14" t="s">
        <v>291</v>
      </c>
      <c r="E63" s="14"/>
      <c r="F63" s="14" t="str">
        <f t="shared" si="0"/>
        <v>{MLE}LOOKER: Speak to me again after you’ve made room, {PLR}!{CLR}In the meantime, I will return to my disguise.</v>
      </c>
      <c r="G63" s="14" t="s">
        <v>472</v>
      </c>
      <c r="H63" s="14" t="s">
        <v>473</v>
      </c>
      <c r="I63" s="14" t="s">
        <v>474</v>
      </c>
      <c r="J63" s="14"/>
      <c r="K63" s="14" t="s">
        <v>475</v>
      </c>
      <c r="L63" s="14"/>
      <c r="M63" s="14" t="s">
        <v>476</v>
      </c>
      <c r="N63" s="15"/>
      <c r="O63" s="15"/>
      <c r="P63" s="15"/>
      <c r="Q63" s="14" t="s">
        <v>477</v>
      </c>
    </row>
    <row r="64" spans="1:17" ht="25.5">
      <c r="A64" s="16" t="e">
        <f ca="1">MATCH(B64,UNIQUE($B$2:$B$1010),0)-1 &amp; ", " &amp; COUNTIF($B$2:B64,B64)-1</f>
        <v>#NAME?</v>
      </c>
      <c r="B64" s="16" t="s">
        <v>478</v>
      </c>
      <c r="C64" s="16" t="s">
        <v>479</v>
      </c>
      <c r="D64" s="17" t="s">
        <v>480</v>
      </c>
      <c r="E64" s="17"/>
      <c r="F64" s="17" t="str">
        <f t="shared" si="0"/>
        <v>SENDING DATA</v>
      </c>
      <c r="G64" s="17" t="s">
        <v>481</v>
      </c>
      <c r="H64" s="17" t="s">
        <v>482</v>
      </c>
      <c r="I64" s="17" t="s">
        <v>483</v>
      </c>
      <c r="J64" s="17"/>
      <c r="K64" s="17" t="s">
        <v>484</v>
      </c>
      <c r="L64" s="17"/>
      <c r="M64" s="17" t="s">
        <v>485</v>
      </c>
      <c r="N64" s="17"/>
      <c r="O64" s="17"/>
      <c r="P64" s="17"/>
      <c r="Q64" s="17" t="s">
        <v>486</v>
      </c>
    </row>
    <row r="65" spans="1:17" ht="25.5">
      <c r="A65" s="16" t="e">
        <f ca="1">MATCH(B65,UNIQUE($B$2:$B$1010),0)-1 &amp; ", " &amp; COUNTIF($B$2:B65,B65)-1</f>
        <v>#NAME?</v>
      </c>
      <c r="B65" s="16" t="s">
        <v>478</v>
      </c>
      <c r="C65" s="16" t="s">
        <v>487</v>
      </c>
      <c r="D65" s="17" t="s">
        <v>480</v>
      </c>
      <c r="E65" s="17"/>
      <c r="F65" s="17" t="str">
        <f t="shared" si="0"/>
        <v>FENNEL</v>
      </c>
      <c r="G65" s="17" t="s">
        <v>488</v>
      </c>
      <c r="H65" s="17" t="s">
        <v>489</v>
      </c>
      <c r="I65" s="17" t="s">
        <v>490</v>
      </c>
      <c r="J65" s="17" t="s">
        <v>491</v>
      </c>
      <c r="K65" s="17" t="s">
        <v>492</v>
      </c>
      <c r="L65" s="17" t="s">
        <v>493</v>
      </c>
      <c r="M65" s="17" t="s">
        <v>489</v>
      </c>
      <c r="N65" s="17" t="s">
        <v>494</v>
      </c>
      <c r="O65" s="17" t="s">
        <v>495</v>
      </c>
      <c r="P65" s="17" t="s">
        <v>495</v>
      </c>
      <c r="Q65" s="17" t="s">
        <v>489</v>
      </c>
    </row>
    <row r="66" spans="1:17" ht="25.5">
      <c r="A66" s="18" t="e">
        <f ca="1">MATCH(B66,UNIQUE($B$2:$B$1010),0)-1 &amp; ", " &amp; COUNTIF($B$2:B66,B66)-1</f>
        <v>#NAME?</v>
      </c>
      <c r="B66" s="18" t="s">
        <v>496</v>
      </c>
      <c r="C66" s="18" t="s">
        <v>497</v>
      </c>
      <c r="D66" s="19" t="s">
        <v>498</v>
      </c>
      <c r="E66" s="19"/>
      <c r="F66" s="19" t="str">
        <f t="shared" si="0"/>
        <v>ENGLISH</v>
      </c>
      <c r="G66" s="19" t="s">
        <v>499</v>
      </c>
      <c r="H66" s="19" t="s">
        <v>500</v>
      </c>
      <c r="I66" s="19" t="s">
        <v>501</v>
      </c>
      <c r="J66" s="19" t="s">
        <v>502</v>
      </c>
      <c r="K66" s="19" t="s">
        <v>503</v>
      </c>
      <c r="L66" s="19" t="s">
        <v>504</v>
      </c>
      <c r="M66" s="19" t="s">
        <v>504</v>
      </c>
      <c r="N66" s="19" t="s">
        <v>505</v>
      </c>
      <c r="O66" s="19" t="s">
        <v>506</v>
      </c>
      <c r="P66" s="19" t="s">
        <v>507</v>
      </c>
      <c r="Q66" s="19" t="s">
        <v>508</v>
      </c>
    </row>
    <row r="67" spans="1:17" ht="25.5">
      <c r="A67" s="18" t="e">
        <f ca="1">MATCH(B67,UNIQUE($B$2:$B$1010),0)-1 &amp; ", " &amp; COUNTIF($B$2:B67,B67)-1</f>
        <v>#NAME?</v>
      </c>
      <c r="B67" s="18" t="s">
        <v>496</v>
      </c>
      <c r="C67" s="18" t="s">
        <v>509</v>
      </c>
      <c r="D67" s="19" t="s">
        <v>498</v>
      </c>
      <c r="E67" s="19"/>
      <c r="F67" s="19" t="str">
        <f t="shared" si="0"/>
        <v>JAPANESE</v>
      </c>
      <c r="G67" s="19" t="s">
        <v>510</v>
      </c>
      <c r="H67" s="19" t="s">
        <v>511</v>
      </c>
      <c r="I67" s="19" t="s">
        <v>512</v>
      </c>
      <c r="J67" s="19" t="s">
        <v>513</v>
      </c>
      <c r="K67" s="19" t="s">
        <v>514</v>
      </c>
      <c r="L67" s="19" t="s">
        <v>515</v>
      </c>
      <c r="M67" s="19" t="s">
        <v>515</v>
      </c>
      <c r="N67" s="19" t="s">
        <v>516</v>
      </c>
      <c r="O67" s="19" t="s">
        <v>517</v>
      </c>
      <c r="P67" s="19" t="s">
        <v>518</v>
      </c>
      <c r="Q67" s="19" t="s">
        <v>519</v>
      </c>
    </row>
    <row r="68" spans="1:17" ht="25.5">
      <c r="A68" s="18" t="e">
        <f ca="1">MATCH(B68,UNIQUE($B$2:$B$1010),0)-1 &amp; ", " &amp; COUNTIF($B$2:B68,B68)-1</f>
        <v>#NAME?</v>
      </c>
      <c r="B68" s="18" t="s">
        <v>496</v>
      </c>
      <c r="C68" s="18" t="s">
        <v>520</v>
      </c>
      <c r="D68" s="19" t="s">
        <v>498</v>
      </c>
      <c r="E68" s="19"/>
      <c r="F68" s="19" t="str">
        <f t="shared" si="0"/>
        <v>SPANISH</v>
      </c>
      <c r="G68" s="19" t="s">
        <v>521</v>
      </c>
      <c r="H68" s="19" t="s">
        <v>522</v>
      </c>
      <c r="I68" s="19" t="s">
        <v>523</v>
      </c>
      <c r="J68" s="19" t="s">
        <v>524</v>
      </c>
      <c r="K68" s="19" t="s">
        <v>525</v>
      </c>
      <c r="L68" s="19" t="s">
        <v>526</v>
      </c>
      <c r="M68" s="19" t="s">
        <v>526</v>
      </c>
      <c r="N68" s="19" t="s">
        <v>527</v>
      </c>
      <c r="O68" s="19" t="s">
        <v>528</v>
      </c>
      <c r="P68" s="19" t="s">
        <v>529</v>
      </c>
      <c r="Q68" s="19" t="s">
        <v>530</v>
      </c>
    </row>
    <row r="69" spans="1:17" ht="25.5">
      <c r="A69" s="18" t="e">
        <f ca="1">MATCH(B69,UNIQUE($B$2:$B$1010),0)-1 &amp; ", " &amp; COUNTIF($B$2:B69,B69)-1</f>
        <v>#NAME?</v>
      </c>
      <c r="B69" s="18" t="s">
        <v>496</v>
      </c>
      <c r="C69" s="18" t="s">
        <v>531</v>
      </c>
      <c r="D69" s="19" t="s">
        <v>498</v>
      </c>
      <c r="E69" s="19"/>
      <c r="F69" s="19" t="str">
        <f t="shared" si="0"/>
        <v>FRENCH</v>
      </c>
      <c r="G69" s="19" t="s">
        <v>532</v>
      </c>
      <c r="H69" s="19" t="s">
        <v>533</v>
      </c>
      <c r="I69" s="19" t="s">
        <v>534</v>
      </c>
      <c r="J69" s="19" t="s">
        <v>535</v>
      </c>
      <c r="K69" s="19" t="s">
        <v>536</v>
      </c>
      <c r="L69" s="19" t="s">
        <v>537</v>
      </c>
      <c r="M69" s="19" t="s">
        <v>537</v>
      </c>
      <c r="N69" s="19" t="s">
        <v>538</v>
      </c>
      <c r="O69" s="19" t="s">
        <v>539</v>
      </c>
      <c r="P69" s="19" t="s">
        <v>540</v>
      </c>
      <c r="Q69" s="19" t="s">
        <v>541</v>
      </c>
    </row>
    <row r="70" spans="1:17" ht="25.5">
      <c r="A70" s="20" t="e">
        <f ca="1">MATCH(B70,UNIQUE($B$2:$B$1010),0)-1 &amp; ", " &amp; COUNTIF($B$2:B70,B70)-1</f>
        <v>#NAME?</v>
      </c>
      <c r="B70" s="20" t="s">
        <v>496</v>
      </c>
      <c r="C70" s="20" t="s">
        <v>542</v>
      </c>
      <c r="D70" s="19" t="s">
        <v>498</v>
      </c>
      <c r="E70" s="19"/>
      <c r="F70" s="21" t="str">
        <f t="shared" si="0"/>
        <v>GERMAN</v>
      </c>
      <c r="G70" s="19" t="s">
        <v>543</v>
      </c>
      <c r="H70" s="21" t="s">
        <v>544</v>
      </c>
      <c r="I70" s="21" t="s">
        <v>545</v>
      </c>
      <c r="J70" s="21" t="s">
        <v>546</v>
      </c>
      <c r="K70" s="21" t="s">
        <v>547</v>
      </c>
      <c r="L70" s="21" t="s">
        <v>548</v>
      </c>
      <c r="M70" s="21" t="s">
        <v>548</v>
      </c>
      <c r="N70" s="21" t="s">
        <v>549</v>
      </c>
      <c r="O70" s="21" t="s">
        <v>550</v>
      </c>
      <c r="P70" s="21" t="s">
        <v>551</v>
      </c>
      <c r="Q70" s="21" t="s">
        <v>552</v>
      </c>
    </row>
    <row r="71" spans="1:17" ht="25.5">
      <c r="A71" s="20" t="e">
        <f ca="1">MATCH(B71,UNIQUE($B$2:$B$1010),0)-1 &amp; ", " &amp; COUNTIF($B$2:B71,B71)-1</f>
        <v>#NAME?</v>
      </c>
      <c r="B71" s="20" t="s">
        <v>496</v>
      </c>
      <c r="C71" s="20" t="s">
        <v>553</v>
      </c>
      <c r="D71" s="19" t="s">
        <v>498</v>
      </c>
      <c r="E71" s="19"/>
      <c r="F71" s="21" t="str">
        <f t="shared" si="0"/>
        <v>ITALIAN</v>
      </c>
      <c r="G71" s="19" t="s">
        <v>554</v>
      </c>
      <c r="H71" s="21" t="s">
        <v>555</v>
      </c>
      <c r="I71" s="21" t="s">
        <v>556</v>
      </c>
      <c r="J71" s="21" t="s">
        <v>557</v>
      </c>
      <c r="K71" s="21" t="s">
        <v>558</v>
      </c>
      <c r="L71" s="21" t="s">
        <v>558</v>
      </c>
      <c r="M71" s="21" t="s">
        <v>558</v>
      </c>
      <c r="N71" s="21" t="s">
        <v>559</v>
      </c>
      <c r="O71" s="21" t="s">
        <v>560</v>
      </c>
      <c r="P71" s="21" t="s">
        <v>561</v>
      </c>
      <c r="Q71" s="21" t="s">
        <v>558</v>
      </c>
    </row>
    <row r="72" spans="1:17" ht="25.5">
      <c r="A72" s="20" t="e">
        <f ca="1">MATCH(B72,UNIQUE($B$2:$B$1010),0)-1 &amp; ", " &amp; COUNTIF($B$2:B72,B72)-1</f>
        <v>#NAME?</v>
      </c>
      <c r="B72" s="20" t="s">
        <v>496</v>
      </c>
      <c r="C72" s="20" t="s">
        <v>562</v>
      </c>
      <c r="D72" s="19" t="s">
        <v>498</v>
      </c>
      <c r="E72" s="19"/>
      <c r="F72" s="21" t="str">
        <f t="shared" si="0"/>
        <v>KOREAN</v>
      </c>
      <c r="G72" s="19" t="s">
        <v>563</v>
      </c>
      <c r="H72" s="21" t="s">
        <v>564</v>
      </c>
      <c r="I72" s="21" t="s">
        <v>565</v>
      </c>
      <c r="J72" s="21" t="s">
        <v>566</v>
      </c>
      <c r="K72" s="21" t="s">
        <v>567</v>
      </c>
      <c r="L72" s="21" t="s">
        <v>567</v>
      </c>
      <c r="M72" s="21" t="s">
        <v>567</v>
      </c>
      <c r="N72" s="21" t="s">
        <v>568</v>
      </c>
      <c r="O72" s="21" t="s">
        <v>569</v>
      </c>
      <c r="P72" s="21" t="s">
        <v>570</v>
      </c>
      <c r="Q72" s="21" t="s">
        <v>567</v>
      </c>
    </row>
    <row r="73" spans="1:17" ht="25.5">
      <c r="A73" s="18" t="e">
        <f ca="1">MATCH(B73,UNIQUE($B$2:$B$1010),0)-1 &amp; ", " &amp; COUNTIF($B$2:B73,B73)-1</f>
        <v>#NAME?</v>
      </c>
      <c r="B73" s="18" t="s">
        <v>496</v>
      </c>
      <c r="C73" s="18" t="s">
        <v>571</v>
      </c>
      <c r="D73" s="19" t="s">
        <v>498</v>
      </c>
      <c r="E73" s="19"/>
      <c r="F73" s="19" t="str">
        <f t="shared" si="0"/>
        <v>GREEN</v>
      </c>
      <c r="G73" s="19" t="s">
        <v>572</v>
      </c>
      <c r="H73" s="19" t="s">
        <v>573</v>
      </c>
      <c r="I73" s="19" t="s">
        <v>574</v>
      </c>
      <c r="J73" s="19" t="s">
        <v>575</v>
      </c>
      <c r="K73" s="19" t="s">
        <v>576</v>
      </c>
      <c r="L73" s="19" t="s">
        <v>576</v>
      </c>
      <c r="M73" s="19" t="s">
        <v>576</v>
      </c>
      <c r="N73" s="19" t="s">
        <v>577</v>
      </c>
      <c r="O73" s="19" t="s">
        <v>578</v>
      </c>
      <c r="P73" s="19" t="s">
        <v>579</v>
      </c>
      <c r="Q73" s="19" t="s">
        <v>573</v>
      </c>
    </row>
    <row r="74" spans="1:17" ht="25.5">
      <c r="A74" s="18" t="e">
        <f ca="1">MATCH(B74,UNIQUE($B$2:$B$1010),0)-1 &amp; ", " &amp; COUNTIF($B$2:B74,B74)-1</f>
        <v>#NAME?</v>
      </c>
      <c r="B74" s="18" t="s">
        <v>496</v>
      </c>
      <c r="C74" s="18" t="s">
        <v>580</v>
      </c>
      <c r="D74" s="19" t="s">
        <v>498</v>
      </c>
      <c r="E74" s="19"/>
      <c r="F74" s="19" t="str">
        <f t="shared" si="0"/>
        <v>RED</v>
      </c>
      <c r="G74" s="19" t="s">
        <v>581</v>
      </c>
      <c r="H74" s="19" t="s">
        <v>582</v>
      </c>
      <c r="I74" s="19" t="s">
        <v>583</v>
      </c>
      <c r="J74" s="19" t="s">
        <v>584</v>
      </c>
      <c r="K74" s="19" t="s">
        <v>585</v>
      </c>
      <c r="L74" s="19" t="s">
        <v>586</v>
      </c>
      <c r="M74" s="19" t="s">
        <v>586</v>
      </c>
      <c r="N74" s="19" t="s">
        <v>587</v>
      </c>
      <c r="O74" s="19" t="s">
        <v>588</v>
      </c>
      <c r="P74" s="19" t="s">
        <v>589</v>
      </c>
      <c r="Q74" s="19" t="s">
        <v>582</v>
      </c>
    </row>
    <row r="75" spans="1:17" ht="25.5">
      <c r="A75" s="18" t="e">
        <f ca="1">MATCH(B75,UNIQUE($B$2:$B$1010),0)-1 &amp; ", " &amp; COUNTIF($B$2:B75,B75)-1</f>
        <v>#NAME?</v>
      </c>
      <c r="B75" s="18" t="s">
        <v>496</v>
      </c>
      <c r="C75" s="18" t="s">
        <v>590</v>
      </c>
      <c r="D75" s="19" t="s">
        <v>498</v>
      </c>
      <c r="E75" s="19"/>
      <c r="F75" s="19" t="str">
        <f t="shared" si="0"/>
        <v>BLUE</v>
      </c>
      <c r="G75" s="19" t="s">
        <v>591</v>
      </c>
      <c r="H75" s="19" t="s">
        <v>592</v>
      </c>
      <c r="I75" s="19" t="s">
        <v>593</v>
      </c>
      <c r="J75" s="19" t="s">
        <v>594</v>
      </c>
      <c r="K75" s="19" t="s">
        <v>595</v>
      </c>
      <c r="L75" s="19" t="s">
        <v>596</v>
      </c>
      <c r="M75" s="19" t="s">
        <v>596</v>
      </c>
      <c r="N75" s="19" t="s">
        <v>597</v>
      </c>
      <c r="O75" s="19" t="s">
        <v>598</v>
      </c>
      <c r="P75" s="19" t="s">
        <v>599</v>
      </c>
      <c r="Q75" s="19" t="s">
        <v>592</v>
      </c>
    </row>
    <row r="76" spans="1:17" ht="25.5">
      <c r="A76" s="18" t="e">
        <f ca="1">MATCH(B76,UNIQUE($B$2:$B$1010),0)-1 &amp; ", " &amp; COUNTIF($B$2:B76,B76)-1</f>
        <v>#NAME?</v>
      </c>
      <c r="B76" s="18" t="s">
        <v>496</v>
      </c>
      <c r="C76" s="18" t="s">
        <v>600</v>
      </c>
      <c r="D76" s="19" t="s">
        <v>498</v>
      </c>
      <c r="E76" s="19"/>
      <c r="F76" s="19" t="str">
        <f t="shared" si="0"/>
        <v>YELLOW</v>
      </c>
      <c r="G76" s="19" t="s">
        <v>601</v>
      </c>
      <c r="H76" s="19" t="s">
        <v>602</v>
      </c>
      <c r="I76" s="19" t="s">
        <v>603</v>
      </c>
      <c r="J76" s="19" t="s">
        <v>604</v>
      </c>
      <c r="K76" s="19" t="s">
        <v>605</v>
      </c>
      <c r="L76" s="19" t="s">
        <v>606</v>
      </c>
      <c r="M76" s="19" t="s">
        <v>606</v>
      </c>
      <c r="N76" s="19" t="s">
        <v>607</v>
      </c>
      <c r="O76" s="19" t="s">
        <v>608</v>
      </c>
      <c r="P76" s="19" t="s">
        <v>608</v>
      </c>
      <c r="Q76" s="19" t="s">
        <v>602</v>
      </c>
    </row>
    <row r="77" spans="1:17" ht="25.5">
      <c r="A77" s="18" t="e">
        <f ca="1">MATCH(B77,UNIQUE($B$2:$B$1010),0)-1 &amp; ", " &amp; COUNTIF($B$2:B77,B77)-1</f>
        <v>#NAME?</v>
      </c>
      <c r="B77" s="18" t="s">
        <v>496</v>
      </c>
      <c r="C77" s="18" t="s">
        <v>609</v>
      </c>
      <c r="D77" s="19" t="s">
        <v>498</v>
      </c>
      <c r="E77" s="19"/>
      <c r="F77" s="19" t="str">
        <f t="shared" si="0"/>
        <v>GOLD</v>
      </c>
      <c r="G77" s="19" t="s">
        <v>610</v>
      </c>
      <c r="H77" s="19" t="s">
        <v>611</v>
      </c>
      <c r="I77" s="19" t="s">
        <v>612</v>
      </c>
      <c r="J77" s="19" t="s">
        <v>613</v>
      </c>
      <c r="K77" s="19" t="s">
        <v>614</v>
      </c>
      <c r="L77" s="19" t="s">
        <v>614</v>
      </c>
      <c r="M77" s="19" t="s">
        <v>614</v>
      </c>
      <c r="N77" s="19" t="s">
        <v>615</v>
      </c>
      <c r="O77" s="19" t="s">
        <v>616</v>
      </c>
      <c r="P77" s="19" t="s">
        <v>616</v>
      </c>
      <c r="Q77" s="19" t="s">
        <v>611</v>
      </c>
    </row>
    <row r="78" spans="1:17" ht="25.5">
      <c r="A78" s="18" t="e">
        <f ca="1">MATCH(B78,UNIQUE($B$2:$B$1010),0)-1 &amp; ", " &amp; COUNTIF($B$2:B78,B78)-1</f>
        <v>#NAME?</v>
      </c>
      <c r="B78" s="18" t="s">
        <v>496</v>
      </c>
      <c r="C78" s="18" t="s">
        <v>617</v>
      </c>
      <c r="D78" s="19" t="s">
        <v>498</v>
      </c>
      <c r="E78" s="19"/>
      <c r="F78" s="19" t="str">
        <f t="shared" si="0"/>
        <v>SILVER</v>
      </c>
      <c r="G78" s="19" t="s">
        <v>618</v>
      </c>
      <c r="H78" s="19" t="s">
        <v>619</v>
      </c>
      <c r="I78" s="19" t="s">
        <v>620</v>
      </c>
      <c r="J78" s="19" t="s">
        <v>621</v>
      </c>
      <c r="K78" s="19" t="s">
        <v>622</v>
      </c>
      <c r="L78" s="19" t="s">
        <v>623</v>
      </c>
      <c r="M78" s="19" t="s">
        <v>623</v>
      </c>
      <c r="N78" s="19" t="s">
        <v>624</v>
      </c>
      <c r="O78" s="19" t="s">
        <v>625</v>
      </c>
      <c r="P78" s="19" t="s">
        <v>626</v>
      </c>
      <c r="Q78" s="19" t="s">
        <v>619</v>
      </c>
    </row>
    <row r="79" spans="1:17" ht="25.5">
      <c r="A79" s="18" t="e">
        <f ca="1">MATCH(B79,UNIQUE($B$2:$B$1010),0)-1 &amp; ", " &amp; COUNTIF($B$2:B79,B79)-1</f>
        <v>#NAME?</v>
      </c>
      <c r="B79" s="18" t="s">
        <v>496</v>
      </c>
      <c r="C79" s="18" t="s">
        <v>627</v>
      </c>
      <c r="D79" s="19" t="s">
        <v>498</v>
      </c>
      <c r="E79" s="19"/>
      <c r="F79" s="19" t="str">
        <f t="shared" si="0"/>
        <v>CRYSTAL</v>
      </c>
      <c r="G79" s="19" t="s">
        <v>628</v>
      </c>
      <c r="H79" s="19" t="s">
        <v>629</v>
      </c>
      <c r="I79" s="19" t="s">
        <v>630</v>
      </c>
      <c r="J79" s="19" t="s">
        <v>631</v>
      </c>
      <c r="K79" s="19" t="s">
        <v>632</v>
      </c>
      <c r="L79" s="19" t="s">
        <v>630</v>
      </c>
      <c r="M79" s="19" t="s">
        <v>630</v>
      </c>
      <c r="N79" s="19" t="s">
        <v>633</v>
      </c>
      <c r="O79" s="19" t="s">
        <v>634</v>
      </c>
      <c r="P79" s="19" t="s">
        <v>634</v>
      </c>
      <c r="Q79" s="19" t="s">
        <v>629</v>
      </c>
    </row>
    <row r="80" spans="1:17" ht="25.5">
      <c r="A80" s="18" t="e">
        <f ca="1">MATCH(B80,UNIQUE($B$2:$B$1010),0)-1 &amp; ", " &amp; COUNTIF($B$2:B80,B80)-1</f>
        <v>#NAME?</v>
      </c>
      <c r="B80" s="18" t="s">
        <v>496</v>
      </c>
      <c r="C80" s="18" t="s">
        <v>635</v>
      </c>
      <c r="D80" s="19" t="s">
        <v>498</v>
      </c>
      <c r="E80" s="19"/>
      <c r="F80" s="19" t="str">
        <f t="shared" si="0"/>
        <v>Cancel</v>
      </c>
      <c r="G80" s="19" t="s">
        <v>636</v>
      </c>
      <c r="H80" s="19" t="s">
        <v>637</v>
      </c>
      <c r="I80" s="19" t="s">
        <v>638</v>
      </c>
      <c r="J80" s="19"/>
      <c r="K80" s="19" t="s">
        <v>639</v>
      </c>
      <c r="L80" s="19"/>
      <c r="M80" s="19" t="s">
        <v>640</v>
      </c>
      <c r="N80" s="19" t="s">
        <v>641</v>
      </c>
      <c r="O80" s="19"/>
      <c r="P80" s="19"/>
      <c r="Q80" s="19" t="s">
        <v>640</v>
      </c>
    </row>
    <row r="81" spans="1:17" ht="25.5">
      <c r="A81" s="18" t="e">
        <f ca="1">MATCH(B81,UNIQUE($B$2:$B$1010),0)-1 &amp; ", " &amp; COUNTIF($B$2:B81,B81)-1</f>
        <v>#NAME?</v>
      </c>
      <c r="B81" s="18" t="s">
        <v>496</v>
      </c>
      <c r="C81" s="18" t="s">
        <v>642</v>
      </c>
      <c r="D81" s="19" t="s">
        <v>498</v>
      </c>
      <c r="E81" s="19"/>
      <c r="F81" s="19" t="str">
        <f t="shared" si="0"/>
        <v>{CTR}PUSH THE START BUTTON!{nCTR}</v>
      </c>
      <c r="G81" s="19" t="s">
        <v>643</v>
      </c>
      <c r="H81" s="19" t="s">
        <v>644</v>
      </c>
      <c r="I81" s="19" t="s">
        <v>645</v>
      </c>
      <c r="J81" s="19" t="s">
        <v>646</v>
      </c>
      <c r="K81" s="19" t="s">
        <v>647</v>
      </c>
      <c r="L81" s="19" t="s">
        <v>648</v>
      </c>
      <c r="M81" s="19" t="s">
        <v>649</v>
      </c>
      <c r="N81" s="19" t="s">
        <v>650</v>
      </c>
      <c r="O81" s="19"/>
      <c r="P81" s="19"/>
      <c r="Q81" s="19" t="s">
        <v>651</v>
      </c>
    </row>
    <row r="82" spans="1:17" ht="25.5">
      <c r="A82" s="18" t="e">
        <f ca="1">MATCH(B82,UNIQUE($B$2:$B$1010),0)-1 &amp; ", " &amp; COUNTIF($B$2:B82,B82)-1</f>
        <v>#NAME?</v>
      </c>
      <c r="B82" s="18" t="s">
        <v>496</v>
      </c>
      <c r="C82" s="18" t="s">
        <v>652</v>
      </c>
      <c r="D82" s="19" t="s">
        <v>498</v>
      </c>
      <c r="E82" s="19"/>
      <c r="F82" s="19" t="str">
        <f t="shared" si="0"/>
        <v>TRANSFER POKéMON</v>
      </c>
      <c r="G82" s="19" t="s">
        <v>653</v>
      </c>
      <c r="H82" s="19" t="s">
        <v>654</v>
      </c>
      <c r="I82" s="19" t="s">
        <v>655</v>
      </c>
      <c r="J82" s="19"/>
      <c r="K82" s="19" t="s">
        <v>656</v>
      </c>
      <c r="L82" s="19"/>
      <c r="M82" s="19" t="s">
        <v>657</v>
      </c>
      <c r="N82" s="19" t="s">
        <v>658</v>
      </c>
      <c r="O82" s="19"/>
      <c r="P82" s="19"/>
      <c r="Q82" s="19" t="s">
        <v>657</v>
      </c>
    </row>
    <row r="83" spans="1:17" ht="25.5">
      <c r="A83" s="18" t="e">
        <f ca="1">MATCH(B83,UNIQUE($B$2:$B$1010),0)-1 &amp; ", " &amp; COUNTIF($B$2:B83,B83)-1</f>
        <v>#NAME?</v>
      </c>
      <c r="B83" s="18" t="s">
        <v>496</v>
      </c>
      <c r="C83" s="18" t="s">
        <v>659</v>
      </c>
      <c r="D83" s="19" t="s">
        <v>498</v>
      </c>
      <c r="E83" s="19"/>
      <c r="F83" s="19" t="str">
        <f t="shared" si="0"/>
        <v>DREAM DEX</v>
      </c>
      <c r="G83" s="19" t="s">
        <v>660</v>
      </c>
      <c r="H83" s="19" t="s">
        <v>661</v>
      </c>
      <c r="I83" s="19" t="s">
        <v>662</v>
      </c>
      <c r="J83" s="19"/>
      <c r="K83" s="19" t="s">
        <v>661</v>
      </c>
      <c r="L83" s="19"/>
      <c r="M83" s="19" t="s">
        <v>661</v>
      </c>
      <c r="N83" s="19" t="s">
        <v>663</v>
      </c>
      <c r="O83" s="19"/>
      <c r="P83" s="19"/>
      <c r="Q83" s="19" t="s">
        <v>661</v>
      </c>
    </row>
    <row r="84" spans="1:17" ht="25.5">
      <c r="A84" s="18" t="e">
        <f ca="1">MATCH(B84,UNIQUE($B$2:$B$1010),0)-1 &amp; ", " &amp; COUNTIF($B$2:B84,B84)-1</f>
        <v>#NAME?</v>
      </c>
      <c r="B84" s="18" t="s">
        <v>496</v>
      </c>
      <c r="C84" s="18" t="s">
        <v>664</v>
      </c>
      <c r="D84" s="19" t="s">
        <v>498</v>
      </c>
      <c r="E84" s="19"/>
      <c r="F84" s="19" t="str">
        <f t="shared" si="0"/>
        <v>CREDITS</v>
      </c>
      <c r="G84" s="19" t="s">
        <v>665</v>
      </c>
      <c r="H84" s="19" t="s">
        <v>666</v>
      </c>
      <c r="I84" s="19" t="s">
        <v>667</v>
      </c>
      <c r="J84" s="19"/>
      <c r="K84" s="19" t="s">
        <v>668</v>
      </c>
      <c r="L84" s="19"/>
      <c r="M84" s="19" t="s">
        <v>669</v>
      </c>
      <c r="N84" s="19" t="s">
        <v>670</v>
      </c>
      <c r="O84" s="19"/>
      <c r="P84" s="19"/>
      <c r="Q84" s="19" t="s">
        <v>669</v>
      </c>
    </row>
    <row r="85" spans="1:17" ht="25.5">
      <c r="A85" s="18" t="e">
        <f ca="1">MATCH(B85,UNIQUE($B$2:$B$1010),0)-1 &amp; ", " &amp; COUNTIF($B$2:B85,B85)-1</f>
        <v>#NAME?</v>
      </c>
      <c r="B85" s="18" t="s">
        <v>496</v>
      </c>
      <c r="C85" s="18" t="s">
        <v>5191</v>
      </c>
      <c r="D85" s="19" t="s">
        <v>498</v>
      </c>
      <c r="E85" s="19"/>
      <c r="F85" s="19" t="str">
        <f>H85</f>
        <v>TUTORIAL</v>
      </c>
      <c r="G85" s="19"/>
      <c r="H85" s="19" t="s">
        <v>5192</v>
      </c>
      <c r="I85" s="19"/>
      <c r="J85" s="19"/>
      <c r="K85" s="19"/>
      <c r="L85" s="19"/>
      <c r="M85" s="19"/>
      <c r="N85" s="19"/>
      <c r="O85" s="19"/>
      <c r="P85" s="19"/>
      <c r="Q85" s="19"/>
    </row>
    <row r="86" spans="1:17" ht="25.5">
      <c r="A86" s="18" t="e">
        <f ca="1">MATCH(B86,UNIQUE($B$2:$B$1010),0)-1 &amp; ", " &amp; COUNTIF($B$2:B86,B86)-1</f>
        <v>#NAME?</v>
      </c>
      <c r="B86" s="18" t="s">
        <v>496</v>
      </c>
      <c r="C86" s="18" t="s">
        <v>671</v>
      </c>
      <c r="D86" s="19" t="s">
        <v>498</v>
      </c>
      <c r="E86" s="19"/>
      <c r="F86" s="19" t="str">
        <f t="shared" si="0"/>
        <v>Debug Text Viewer</v>
      </c>
      <c r="G86" s="19" t="s">
        <v>672</v>
      </c>
      <c r="H86" s="19" t="s">
        <v>673</v>
      </c>
      <c r="I86" s="19" t="s">
        <v>674</v>
      </c>
      <c r="J86" s="19"/>
      <c r="K86" s="19" t="s">
        <v>675</v>
      </c>
      <c r="L86" s="19"/>
      <c r="M86" s="19" t="s">
        <v>676</v>
      </c>
      <c r="N86" s="19"/>
      <c r="O86" s="19"/>
      <c r="P86" s="19"/>
      <c r="Q86" s="19" t="s">
        <v>677</v>
      </c>
    </row>
    <row r="87" spans="1:17" ht="153">
      <c r="A87" s="18" t="e">
        <f ca="1">MATCH(B87,UNIQUE($B$2:$B$1010),0)-1 &amp; ", " &amp; COUNTIF($B$2:B87,B87)-1</f>
        <v>#NAME?</v>
      </c>
      <c r="B87" s="18" t="s">
        <v>496</v>
      </c>
      <c r="C87" s="18" t="s">
        <v>678</v>
      </c>
      <c r="D87" s="19" t="s">
        <v>679</v>
      </c>
      <c r="E87" s="19" t="s">
        <v>680</v>
      </c>
      <c r="F87" s="19" t="str">
        <f t="shared" si="0"/>
        <v>Hello! Thank you for using Poké Transporter GB!{NEW}{NEW}Just as a word of caution- Poké Transporter GB WILL modify both the Game Boy and Game Boy Advance save files.{NEW}{NEW}Please note that while Poké Transporter GB is no longer in beta, save file backups are still recommended before using. With that all being said, please enjoy!{NEW}{NEW}-The Gears of Progress</v>
      </c>
      <c r="G87" s="19" t="s">
        <v>681</v>
      </c>
      <c r="H87" s="19" t="s">
        <v>682</v>
      </c>
      <c r="I87" s="19" t="s">
        <v>683</v>
      </c>
      <c r="J87" s="19"/>
      <c r="K87" s="19" t="s">
        <v>684</v>
      </c>
      <c r="L87" s="19"/>
      <c r="M87" s="19" t="s">
        <v>685</v>
      </c>
      <c r="N87" s="19"/>
      <c r="O87" s="19"/>
      <c r="P87" s="19"/>
      <c r="Q87" s="19" t="s">
        <v>686</v>
      </c>
    </row>
    <row r="88" spans="1:17" ht="127.5">
      <c r="A88" s="18" t="e">
        <f ca="1">MATCH(B88,UNIQUE($B$2:$B$1010),0)-1 &amp; ", " &amp; COUNTIF($B$2:B88,B88)-1</f>
        <v>#NAME?</v>
      </c>
      <c r="B88" s="18" t="s">
        <v>496</v>
      </c>
      <c r="C88" s="18" t="s">
        <v>687</v>
      </c>
      <c r="D88" s="19" t="s">
        <v>679</v>
      </c>
      <c r="E88" s="19"/>
      <c r="F88" s="19" t="str">
        <f t="shared" si="0"/>
        <v>Poké Transporter GB was made out of love and appreciation for the POKéMON franchise with no profit in mind.{NEW}It will ALWAYS be free and never sold as a physical cartridge.{NEW}Please support the original developers.{NEW}All POKéMON names, sprites, and music are owned by Nintendo, Creatures, and GAME FREAK.</v>
      </c>
      <c r="G88" s="19" t="s">
        <v>688</v>
      </c>
      <c r="H88" s="19" t="s">
        <v>689</v>
      </c>
      <c r="I88" s="19" t="s">
        <v>690</v>
      </c>
      <c r="J88" s="19"/>
      <c r="K88" s="19" t="s">
        <v>691</v>
      </c>
      <c r="L88" s="19"/>
      <c r="M88" s="19" t="s">
        <v>692</v>
      </c>
      <c r="N88" s="19"/>
      <c r="O88" s="19"/>
      <c r="P88" s="19"/>
      <c r="Q88" s="19" t="s">
        <v>693</v>
      </c>
    </row>
    <row r="89" spans="1:17" ht="89.25">
      <c r="A89" s="18" t="e">
        <f ca="1">MATCH(B89,UNIQUE($B$2:$B$1010),0)-1 &amp; ", " &amp; COUNTIF($B$2:B89,B89)-1</f>
        <v>#NAME?</v>
      </c>
      <c r="B89" s="18" t="s">
        <v>496</v>
      </c>
      <c r="C89" s="18" t="s">
        <v>694</v>
      </c>
      <c r="D89" s="19" t="s">
        <v>695</v>
      </c>
      <c r="E89" s="19"/>
      <c r="F89" s="19" t="str">
        <f t="shared" si="0"/>
        <v>Failed to load the save file.{NEW}Please insert an official POKéMON Game Boy Advance Game Pak, and then press A.{NEW}{NEW}Alternatively, you can press SELECT to send this program to another Game Boy Advance.</v>
      </c>
      <c r="G89" s="19" t="s">
        <v>696</v>
      </c>
      <c r="H89" s="19" t="s">
        <v>697</v>
      </c>
      <c r="I89" s="19" t="s">
        <v>698</v>
      </c>
      <c r="J89" s="19"/>
      <c r="K89" s="19" t="s">
        <v>699</v>
      </c>
      <c r="L89" s="19"/>
      <c r="M89" s="19" t="s">
        <v>700</v>
      </c>
      <c r="N89" s="19"/>
      <c r="O89" s="19"/>
      <c r="P89" s="19"/>
      <c r="Q89" s="19" t="s">
        <v>701</v>
      </c>
    </row>
    <row r="90" spans="1:17" ht="38.25">
      <c r="A90" s="18" t="e">
        <f ca="1">MATCH(B90,UNIQUE($B$2:$B$1010),0)-1 &amp; ", " &amp; COUNTIF($B$2:B90,B90)-1</f>
        <v>#NAME?</v>
      </c>
      <c r="B90" s="18" t="s">
        <v>496</v>
      </c>
      <c r="C90" s="18" t="s">
        <v>702</v>
      </c>
      <c r="D90" s="19" t="s">
        <v>703</v>
      </c>
      <c r="E90" s="19"/>
      <c r="F90" s="19" t="str">
        <f t="shared" si="0"/>
        <v>The POKéMON game was removed.{NEW}Please turn off the system and restart the program.</v>
      </c>
      <c r="G90" s="19" t="s">
        <v>704</v>
      </c>
      <c r="H90" s="19" t="s">
        <v>705</v>
      </c>
      <c r="I90" s="19" t="s">
        <v>706</v>
      </c>
      <c r="J90" s="19"/>
      <c r="K90" s="19" t="s">
        <v>707</v>
      </c>
      <c r="L90" s="19"/>
      <c r="M90" s="19" t="s">
        <v>708</v>
      </c>
      <c r="N90" s="19"/>
      <c r="O90" s="19"/>
      <c r="P90" s="19"/>
      <c r="Q90" s="19" t="s">
        <v>709</v>
      </c>
    </row>
    <row r="91" spans="1:17" ht="102">
      <c r="A91" s="18" t="e">
        <f ca="1">MATCH(B91,UNIQUE($B$2:$B$1010),0)-1 &amp; ", " &amp; COUNTIF($B$2:B91,B91)-1</f>
        <v>#NAME?</v>
      </c>
      <c r="B91" s="18" t="s">
        <v>496</v>
      </c>
      <c r="C91" s="18" t="s">
        <v>710</v>
      </c>
      <c r="D91" s="19" t="s">
        <v>695</v>
      </c>
      <c r="E91" s="19"/>
      <c r="F91" s="19" t="str">
        <f t="shared" si="0"/>
        <v>Please connect this system to another Game Boy Advance in Multiboot mode with a Game Boy Advance Link Cable.{NEW}{NEW}Then, press the A button to begin sending Poké Transporter GB to the second Game Boy Advance.</v>
      </c>
      <c r="G91" s="19" t="s">
        <v>711</v>
      </c>
      <c r="H91" s="19" t="s">
        <v>712</v>
      </c>
      <c r="I91" s="19" t="s">
        <v>713</v>
      </c>
      <c r="J91" s="19"/>
      <c r="K91" s="19" t="s">
        <v>714</v>
      </c>
      <c r="L91" s="19"/>
      <c r="M91" s="19" t="s">
        <v>715</v>
      </c>
      <c r="N91" s="19"/>
      <c r="O91" s="19"/>
      <c r="P91" s="19"/>
      <c r="Q91" s="19" t="s">
        <v>716</v>
      </c>
    </row>
    <row r="92" spans="1:17" ht="51">
      <c r="A92" s="18" t="e">
        <f ca="1">MATCH(B92,UNIQUE($B$2:$B$1010),0)-1 &amp; ", " &amp; COUNTIF($B$2:B92,B92)-1</f>
        <v>#NAME?</v>
      </c>
      <c r="B92" s="18" t="s">
        <v>496</v>
      </c>
      <c r="C92" s="18" t="s">
        <v>717</v>
      </c>
      <c r="D92" s="19" t="s">
        <v>695</v>
      </c>
      <c r="E92" s="19"/>
      <c r="F92" s="19" t="str">
        <f t="shared" si="0"/>
        <v>Sending Poké Transporter GB to the second Game Boy Advance system.{NEW}Please wait.{NEW}{NEW}Hold B to cancel.</v>
      </c>
      <c r="G92" s="19" t="s">
        <v>718</v>
      </c>
      <c r="H92" s="19" t="s">
        <v>719</v>
      </c>
      <c r="I92" s="19" t="s">
        <v>720</v>
      </c>
      <c r="J92" s="19"/>
      <c r="K92" s="19" t="s">
        <v>721</v>
      </c>
      <c r="L92" s="19"/>
      <c r="M92" s="19" t="s">
        <v>722</v>
      </c>
      <c r="N92" s="19"/>
      <c r="O92" s="19"/>
      <c r="P92" s="19"/>
      <c r="Q92" s="19" t="s">
        <v>723</v>
      </c>
    </row>
    <row r="93" spans="1:17" ht="51">
      <c r="A93" s="18" t="e">
        <f ca="1">MATCH(B93,UNIQUE($B$2:$B$1010),0)-1 &amp; ", " &amp; COUNTIF($B$2:B93,B93)-1</f>
        <v>#NAME?</v>
      </c>
      <c r="B93" s="18" t="s">
        <v>496</v>
      </c>
      <c r="C93" s="18" t="s">
        <v>724</v>
      </c>
      <c r="D93" s="19" t="s">
        <v>695</v>
      </c>
      <c r="E93" s="19"/>
      <c r="F93" s="19" t="str">
        <f t="shared" si="0"/>
        <v>Poké Transporter GB was sent successfully!{NEW}You may now power off this{NEW}Game Boy Advance system.</v>
      </c>
      <c r="G93" s="19" t="s">
        <v>725</v>
      </c>
      <c r="H93" s="19" t="s">
        <v>726</v>
      </c>
      <c r="I93" s="19" t="s">
        <v>727</v>
      </c>
      <c r="J93" s="19"/>
      <c r="K93" s="19" t="s">
        <v>728</v>
      </c>
      <c r="L93" s="19"/>
      <c r="M93" s="19" t="s">
        <v>729</v>
      </c>
      <c r="N93" s="19"/>
      <c r="O93" s="19"/>
      <c r="P93" s="19"/>
      <c r="Q93" s="19" t="s">
        <v>730</v>
      </c>
    </row>
    <row r="94" spans="1:17" ht="63.75">
      <c r="A94" s="18" t="e">
        <f ca="1">MATCH(B94,UNIQUE($B$2:$B$1010),0)-1 &amp; ", " &amp; COUNTIF($B$2:B94,B94)-1</f>
        <v>#NAME?</v>
      </c>
      <c r="B94" s="18" t="s">
        <v>496</v>
      </c>
      <c r="C94" s="18" t="s">
        <v>731</v>
      </c>
      <c r="D94" s="19" t="s">
        <v>695</v>
      </c>
      <c r="E94" s="19"/>
      <c r="F94" s="19" t="str">
        <f t="shared" si="0"/>
        <v>An error occurred while sending{NEW}Poké Transporter GB.{NEW}{NEW}Press the A button to return to the instructions screen and try again.</v>
      </c>
      <c r="G94" s="19" t="s">
        <v>732</v>
      </c>
      <c r="H94" s="19" t="s">
        <v>733</v>
      </c>
      <c r="I94" s="19" t="s">
        <v>734</v>
      </c>
      <c r="J94" s="19"/>
      <c r="K94" s="19" t="s">
        <v>735</v>
      </c>
      <c r="L94" s="19"/>
      <c r="M94" s="19" t="s">
        <v>736</v>
      </c>
      <c r="N94" s="19"/>
      <c r="O94" s="19"/>
      <c r="P94" s="19"/>
      <c r="Q94" s="19" t="s">
        <v>737</v>
      </c>
    </row>
    <row r="95" spans="1:17" ht="63.75">
      <c r="A95" s="18" t="e">
        <f ca="1">MATCH(B95,UNIQUE($B$2:$B$1010),0)-1 &amp; ", " &amp; COUNTIF($B$2:B95,B95)-1</f>
        <v>#NAME?</v>
      </c>
      <c r="B95" s="18" t="s">
        <v>496</v>
      </c>
      <c r="C95" s="18" t="s">
        <v>738</v>
      </c>
      <c r="D95" s="19" t="s">
        <v>498</v>
      </c>
      <c r="E95" s="19" t="s">
        <v>739</v>
      </c>
      <c r="F95" s="19" t="str">
        <f t="shared" si="0"/>
        <v>KANTO:</v>
      </c>
      <c r="G95" s="19" t="s">
        <v>740</v>
      </c>
      <c r="H95" s="19" t="s">
        <v>741</v>
      </c>
      <c r="I95" s="19" t="s">
        <v>741</v>
      </c>
      <c r="J95" s="19" t="s">
        <v>741</v>
      </c>
      <c r="K95" s="19" t="s">
        <v>741</v>
      </c>
      <c r="L95" s="19" t="s">
        <v>741</v>
      </c>
      <c r="M95" s="19" t="s">
        <v>741</v>
      </c>
      <c r="N95" s="19" t="s">
        <v>742</v>
      </c>
      <c r="O95" s="19" t="s">
        <v>743</v>
      </c>
      <c r="P95" s="19" t="s">
        <v>744</v>
      </c>
      <c r="Q95" s="19" t="s">
        <v>741</v>
      </c>
    </row>
    <row r="96" spans="1:17" ht="25.5">
      <c r="A96" s="18" t="e">
        <f ca="1">MATCH(B96,UNIQUE($B$2:$B$1010),0)-1 &amp; ", " &amp; COUNTIF($B$2:B96,B96)-1</f>
        <v>#NAME?</v>
      </c>
      <c r="B96" s="18" t="s">
        <v>496</v>
      </c>
      <c r="C96" s="18" t="s">
        <v>745</v>
      </c>
      <c r="D96" s="19" t="s">
        <v>498</v>
      </c>
      <c r="E96" s="19" t="s">
        <v>746</v>
      </c>
      <c r="F96" s="19" t="str">
        <f t="shared" si="0"/>
        <v>JOHTO:</v>
      </c>
      <c r="G96" s="19" t="s">
        <v>747</v>
      </c>
      <c r="H96" s="19" t="s">
        <v>748</v>
      </c>
      <c r="I96" s="19" t="s">
        <v>748</v>
      </c>
      <c r="J96" s="19" t="s">
        <v>748</v>
      </c>
      <c r="K96" s="19" t="s">
        <v>748</v>
      </c>
      <c r="L96" s="19" t="s">
        <v>748</v>
      </c>
      <c r="M96" s="19" t="s">
        <v>748</v>
      </c>
      <c r="N96" s="19" t="s">
        <v>749</v>
      </c>
      <c r="O96" s="19" t="s">
        <v>750</v>
      </c>
      <c r="P96" s="19" t="s">
        <v>750</v>
      </c>
      <c r="Q96" s="19" t="s">
        <v>748</v>
      </c>
    </row>
    <row r="97" spans="1:17" ht="38.25">
      <c r="A97" s="18" t="e">
        <f ca="1">MATCH(B97,UNIQUE($B$2:$B$1010),0)-1 &amp; ", " &amp; COUNTIF($B$2:B97,B97)-1</f>
        <v>#NAME?</v>
      </c>
      <c r="B97" s="18" t="s">
        <v>496</v>
      </c>
      <c r="C97" s="18" t="s">
        <v>751</v>
      </c>
      <c r="D97" s="19" t="s">
        <v>752</v>
      </c>
      <c r="E97" s="19"/>
      <c r="F97" s="19" t="str">
        <f t="shared" si="0"/>
        <v>{CTR}Link was successful!{NEW}Waiting for trade…{nCTR}</v>
      </c>
      <c r="G97" s="19" t="s">
        <v>753</v>
      </c>
      <c r="H97" s="19" t="s">
        <v>754</v>
      </c>
      <c r="I97" s="19" t="s">
        <v>755</v>
      </c>
      <c r="J97" s="19"/>
      <c r="K97" s="19" t="s">
        <v>756</v>
      </c>
      <c r="L97" s="19"/>
      <c r="M97" s="19" t="s">
        <v>757</v>
      </c>
      <c r="N97" s="19"/>
      <c r="O97" s="19"/>
      <c r="P97" s="19"/>
      <c r="Q97" s="19" t="s">
        <v>758</v>
      </c>
    </row>
    <row r="98" spans="1:17" ht="38.25">
      <c r="A98" s="18" t="e">
        <f ca="1">MATCH(B98,UNIQUE($B$2:$B$1010),0)-1 &amp; ", " &amp; COUNTIF($B$2:B98,B98)-1</f>
        <v>#NAME?</v>
      </c>
      <c r="B98" s="18" t="s">
        <v>496</v>
      </c>
      <c r="C98" s="18" t="s">
        <v>759</v>
      </c>
      <c r="D98" s="19" t="s">
        <v>752</v>
      </c>
      <c r="E98" s="19"/>
      <c r="F98" s="19" t="str">
        <f t="shared" si="0"/>
        <v>{CTR}Link was successful!{NEW}Waiting for battle…{nCTR}</v>
      </c>
      <c r="G98" s="19" t="s">
        <v>760</v>
      </c>
      <c r="H98" s="19" t="s">
        <v>761</v>
      </c>
      <c r="I98" s="19" t="s">
        <v>762</v>
      </c>
      <c r="J98" s="19"/>
      <c r="K98" s="19" t="s">
        <v>763</v>
      </c>
      <c r="L98" s="19"/>
      <c r="M98" s="19" t="s">
        <v>764</v>
      </c>
      <c r="N98" s="19"/>
      <c r="O98" s="19"/>
      <c r="P98" s="19"/>
      <c r="Q98" s="19" t="s">
        <v>765</v>
      </c>
    </row>
    <row r="99" spans="1:17" ht="25.5">
      <c r="A99" s="18" t="e">
        <f ca="1">MATCH(B99,UNIQUE($B$2:$B$1010),0)-1 &amp; ", " &amp; COUNTIF($B$2:B99,B99)-1</f>
        <v>#NAME?</v>
      </c>
      <c r="B99" s="18" t="s">
        <v>496</v>
      </c>
      <c r="C99" s="18" t="s">
        <v>766</v>
      </c>
      <c r="D99" s="19" t="s">
        <v>752</v>
      </c>
      <c r="E99" s="19"/>
      <c r="F99" s="19" t="str">
        <f t="shared" si="0"/>
        <v>{CTR}Connecting to{NEW}Game Boy…{nCTR}</v>
      </c>
      <c r="G99" s="19" t="s">
        <v>767</v>
      </c>
      <c r="H99" s="19" t="s">
        <v>768</v>
      </c>
      <c r="I99" s="19" t="s">
        <v>769</v>
      </c>
      <c r="J99" s="19"/>
      <c r="K99" s="19" t="s">
        <v>770</v>
      </c>
      <c r="L99" s="19"/>
      <c r="M99" s="19" t="s">
        <v>771</v>
      </c>
      <c r="N99" s="19"/>
      <c r="O99" s="19"/>
      <c r="P99" s="19"/>
      <c r="Q99" s="19" t="s">
        <v>772</v>
      </c>
    </row>
    <row r="100" spans="1:17" ht="25.5">
      <c r="A100" s="18" t="e">
        <f ca="1">MATCH(B100,UNIQUE($B$2:$B$1010),0)-1 &amp; ", " &amp; COUNTIF($B$2:B100,B100)-1</f>
        <v>#NAME?</v>
      </c>
      <c r="B100" s="18" t="s">
        <v>496</v>
      </c>
      <c r="C100" s="18" t="s">
        <v>773</v>
      </c>
      <c r="D100" s="19" t="s">
        <v>752</v>
      </c>
      <c r="E100" s="19"/>
      <c r="F100" s="19" t="str">
        <f t="shared" si="0"/>
        <v>{CTR}Transferring data…{NEW}Please wait!{nCTR}</v>
      </c>
      <c r="G100" s="19" t="s">
        <v>774</v>
      </c>
      <c r="H100" s="19" t="s">
        <v>775</v>
      </c>
      <c r="I100" s="19" t="s">
        <v>776</v>
      </c>
      <c r="J100" s="19"/>
      <c r="K100" s="19" t="s">
        <v>777</v>
      </c>
      <c r="L100" s="19"/>
      <c r="M100" s="19" t="s">
        <v>778</v>
      </c>
      <c r="N100" s="19"/>
      <c r="O100" s="19"/>
      <c r="P100" s="19"/>
      <c r="Q100" s="19" t="s">
        <v>779</v>
      </c>
    </row>
    <row r="101" spans="1:17" ht="25.5">
      <c r="A101" s="18" t="e">
        <f ca="1">MATCH(B101,UNIQUE($B$2:$B$1010),0)-1 &amp; ", " &amp; COUNTIF($B$2:B101,B101)-1</f>
        <v>#NAME?</v>
      </c>
      <c r="B101" s="18" t="s">
        <v>496</v>
      </c>
      <c r="C101" s="18" t="s">
        <v>780</v>
      </c>
      <c r="D101" s="19" t="s">
        <v>498</v>
      </c>
      <c r="E101" s="19" t="s">
        <v>781</v>
      </c>
      <c r="F101" s="19" t="str">
        <f t="shared" si="0"/>
        <v xml:space="preserve">{LVL}: </v>
      </c>
      <c r="G101" s="19" t="s">
        <v>782</v>
      </c>
      <c r="H101" s="19" t="s">
        <v>783</v>
      </c>
      <c r="I101" s="19" t="s">
        <v>784</v>
      </c>
      <c r="J101" s="19" t="s">
        <v>783</v>
      </c>
      <c r="K101" s="19" t="s">
        <v>783</v>
      </c>
      <c r="L101" s="19" t="s">
        <v>783</v>
      </c>
      <c r="M101" s="19" t="s">
        <v>783</v>
      </c>
      <c r="N101" s="19" t="s">
        <v>785</v>
      </c>
      <c r="O101" s="19"/>
      <c r="P101" s="19"/>
      <c r="Q101" s="19" t="s">
        <v>785</v>
      </c>
    </row>
    <row r="102" spans="1:17" ht="38.25">
      <c r="A102" s="22" t="e">
        <f ca="1">MATCH(B102,UNIQUE($B$2:$B$1010),0)-1 &amp; ", " &amp; COUNTIF($B$2:B102,B102)-1</f>
        <v>#NAME?</v>
      </c>
      <c r="B102" s="22" t="s">
        <v>666</v>
      </c>
      <c r="C102" s="22" t="s">
        <v>786</v>
      </c>
      <c r="D102" s="23" t="s">
        <v>695</v>
      </c>
      <c r="E102" s="23"/>
      <c r="F102" s="23" t="str">
        <f t="shared" si="0"/>
        <v>{CTR}Created by The Gears of Progress{NEW}{NEW}Developed by the Striaton Lab Team{nCTR}</v>
      </c>
      <c r="G102" s="23" t="s">
        <v>787</v>
      </c>
      <c r="H102" s="23" t="s">
        <v>788</v>
      </c>
      <c r="I102" s="23" t="s">
        <v>789</v>
      </c>
      <c r="J102" s="23"/>
      <c r="K102" s="23" t="s">
        <v>790</v>
      </c>
      <c r="L102" s="23"/>
      <c r="M102" s="23" t="s">
        <v>791</v>
      </c>
      <c r="N102" s="23" t="s">
        <v>792</v>
      </c>
      <c r="O102" s="23"/>
      <c r="P102" s="23"/>
      <c r="Q102" s="23" t="s">
        <v>793</v>
      </c>
    </row>
    <row r="103" spans="1:17" ht="102">
      <c r="A103" s="22" t="e">
        <f ca="1">MATCH(B103,UNIQUE($B$2:$B$1010),0)-1 &amp; ", " &amp; COUNTIF($B$2:B103,B103)-1</f>
        <v>#NAME?</v>
      </c>
      <c r="B103" s="22" t="s">
        <v>666</v>
      </c>
      <c r="C103" s="22" t="s">
        <v>794</v>
      </c>
      <c r="D103" s="23" t="s">
        <v>695</v>
      </c>
      <c r="E103" s="23"/>
      <c r="F103" s="23" t="str">
        <f t="shared" si="0"/>
        <v>{CTR}- Striaton Lab Team -{NEW}{NEW}Developers:{NEW}-The Gears of Progress{nCTR}{SPA}[26]-TimoVM{SPA}[54]-RisingPhil{NEW}{SPA}[26]-EasyAsPi314{SPA}[24]-aestellic{NEW}{SPA}[26]-Essometer{SPA}[35]-vpraion</v>
      </c>
      <c r="G103" s="23" t="s">
        <v>795</v>
      </c>
      <c r="H103" s="23" t="s">
        <v>796</v>
      </c>
      <c r="I103" s="23" t="s">
        <v>797</v>
      </c>
      <c r="J103" s="23"/>
      <c r="K103" s="23" t="s">
        <v>798</v>
      </c>
      <c r="L103" s="23"/>
      <c r="M103" s="23" t="s">
        <v>799</v>
      </c>
      <c r="N103" s="23" t="s">
        <v>800</v>
      </c>
      <c r="O103" s="23"/>
      <c r="P103" s="23"/>
      <c r="Q103" s="23" t="s">
        <v>801</v>
      </c>
    </row>
    <row r="104" spans="1:17" ht="63.75">
      <c r="A104" s="22" t="e">
        <f ca="1">MATCH(B104,UNIQUE($B$2:$B$1010),0)-1 &amp; ", " &amp; COUNTIF($B$2:B104,B104)-1</f>
        <v>#NAME?</v>
      </c>
      <c r="B104" s="22" t="s">
        <v>666</v>
      </c>
      <c r="C104" s="22" t="s">
        <v>802</v>
      </c>
      <c r="D104" s="23" t="s">
        <v>695</v>
      </c>
      <c r="E104" s="23"/>
      <c r="F104" s="23" t="str">
        <f t="shared" si="0"/>
        <v>{CTR}- Striaton Lab Team -{NEW}{NEW}Artists:{NEW}-LJBirdman{NEW}{NEW}Musicians: {NEW}-AquaticAlloy{NEW}-Minra Starlight{nCTR}</v>
      </c>
      <c r="G104" s="23" t="s">
        <v>803</v>
      </c>
      <c r="H104" s="23" t="s">
        <v>804</v>
      </c>
      <c r="I104" s="23" t="s">
        <v>805</v>
      </c>
      <c r="J104" s="23"/>
      <c r="K104" s="23" t="s">
        <v>806</v>
      </c>
      <c r="L104" s="23"/>
      <c r="M104" s="23" t="s">
        <v>807</v>
      </c>
      <c r="N104" s="23" t="s">
        <v>808</v>
      </c>
      <c r="O104" s="23"/>
      <c r="P104" s="23"/>
      <c r="Q104" s="23" t="s">
        <v>809</v>
      </c>
    </row>
    <row r="105" spans="1:17" ht="114.75">
      <c r="A105" s="22" t="e">
        <f ca="1">MATCH(B105,UNIQUE($B$2:$B$1010),0)-1 &amp; ", " &amp; COUNTIF($B$2:B105,B105)-1</f>
        <v>#NAME?</v>
      </c>
      <c r="B105" s="22" t="s">
        <v>666</v>
      </c>
      <c r="C105" s="22" t="s">
        <v>810</v>
      </c>
      <c r="D105" s="23" t="s">
        <v>695</v>
      </c>
      <c r="E105" s="23"/>
      <c r="F105" s="23" t="str">
        <f t="shared" si="0"/>
        <v>{CTR}- Striaton Lab Team -{NEW}{NEW}Translators:{nCTR}{SPA}[35]Japanese: Petrosjd{NEW}{SPA}[48]French: Lugiadrien{NEW}{SPA}[48]German: Ayumea{NEW}{SPA}[25]Spanish-ES: Yuraite{NEW}{CTR}CONTINUED▶{nCTR}</v>
      </c>
      <c r="G105" s="23" t="s">
        <v>811</v>
      </c>
      <c r="H105" s="23" t="s">
        <v>812</v>
      </c>
      <c r="I105" s="23" t="s">
        <v>813</v>
      </c>
      <c r="J105" s="23"/>
      <c r="K105" s="23" t="s">
        <v>814</v>
      </c>
      <c r="L105" s="23"/>
      <c r="M105" s="23" t="s">
        <v>815</v>
      </c>
      <c r="N105" s="23"/>
      <c r="O105" s="23"/>
      <c r="P105" s="23"/>
      <c r="Q105" s="23" t="s">
        <v>816</v>
      </c>
    </row>
    <row r="106" spans="1:17" ht="89.25">
      <c r="A106" s="22" t="e">
        <f ca="1">MATCH(B106,UNIQUE($B$2:$B$1010),0)-1 &amp; ", " &amp; COUNTIF($B$2:B106,B106)-1</f>
        <v>#NAME?</v>
      </c>
      <c r="B106" s="22" t="s">
        <v>666</v>
      </c>
      <c r="C106" s="22" t="s">
        <v>817</v>
      </c>
      <c r="D106" s="23" t="s">
        <v>695</v>
      </c>
      <c r="E106" s="23"/>
      <c r="F106" s="23" t="str">
        <f t="shared" si="0"/>
        <v>{CTR}- Striaton Lab Team -{NEW}{NEW}Translators:{nCTR}{SPA}[45]Italian: D. ‘Lagger’ Garlini{NEW}{SPA}[92]A. Chieffi{NEW}{SPA}[25]Spanish-LA: Christóbal{NEW}{SPA}[6]Portuguese-BR: Hyd</v>
      </c>
      <c r="G106" s="23" t="s">
        <v>818</v>
      </c>
      <c r="H106" s="23" t="s">
        <v>819</v>
      </c>
      <c r="I106" s="23" t="s">
        <v>820</v>
      </c>
      <c r="J106" s="23"/>
      <c r="K106" s="23" t="s">
        <v>821</v>
      </c>
      <c r="L106" s="23"/>
      <c r="M106" s="23" t="s">
        <v>822</v>
      </c>
      <c r="N106" s="23"/>
      <c r="O106" s="23"/>
      <c r="P106" s="23"/>
      <c r="Q106" s="23" t="s">
        <v>823</v>
      </c>
    </row>
    <row r="107" spans="1:17" ht="38.25">
      <c r="A107" s="22" t="e">
        <f ca="1">MATCH(B107,UNIQUE($B$2:$B$1010),0)-1 &amp; ", " &amp; COUNTIF($B$2:B107,B107)-1</f>
        <v>#NAME?</v>
      </c>
      <c r="B107" s="22" t="s">
        <v>666</v>
      </c>
      <c r="C107" s="22" t="s">
        <v>824</v>
      </c>
      <c r="D107" s="23" t="s">
        <v>695</v>
      </c>
      <c r="E107" s="23"/>
      <c r="F107" s="23" t="str">
        <f t="shared" si="0"/>
        <v>{CTR}Development assistance:{NEW}-im a blisy{NEW}-rileyk64{NEW}-Shao{nCTR}</v>
      </c>
      <c r="G107" s="23" t="s">
        <v>825</v>
      </c>
      <c r="H107" s="23" t="s">
        <v>826</v>
      </c>
      <c r="I107" s="23" t="s">
        <v>827</v>
      </c>
      <c r="J107" s="23"/>
      <c r="K107" s="23" t="s">
        <v>828</v>
      </c>
      <c r="L107" s="23"/>
      <c r="M107" s="23" t="s">
        <v>829</v>
      </c>
      <c r="N107" s="23"/>
      <c r="O107" s="23"/>
      <c r="P107" s="23"/>
      <c r="Q107" s="23" t="s">
        <v>830</v>
      </c>
    </row>
    <row r="108" spans="1:17" ht="38.25">
      <c r="A108" s="22" t="e">
        <f ca="1">MATCH(B108,UNIQUE($B$2:$B$1010),0)-1 &amp; ", " &amp; COUNTIF($B$2:B108,B108)-1</f>
        <v>#NAME?</v>
      </c>
      <c r="B108" s="22" t="s">
        <v>666</v>
      </c>
      <c r="C108" s="22" t="s">
        <v>831</v>
      </c>
      <c r="D108" s="23" t="s">
        <v>695</v>
      </c>
      <c r="E108" s="23"/>
      <c r="F108" s="23" t="str">
        <f t="shared" si="0"/>
        <v>{CTR}Built using:{NEW}-DevkitPro{NEW}-LibTonc{NEW}{nCTR}</v>
      </c>
      <c r="G108" s="23" t="s">
        <v>832</v>
      </c>
      <c r="H108" s="23" t="s">
        <v>833</v>
      </c>
      <c r="I108" s="23" t="s">
        <v>834</v>
      </c>
      <c r="J108" s="23"/>
      <c r="K108" s="23" t="s">
        <v>835</v>
      </c>
      <c r="L108" s="23"/>
      <c r="M108" s="23" t="s">
        <v>836</v>
      </c>
      <c r="N108" s="23"/>
      <c r="O108" s="23"/>
      <c r="P108" s="23"/>
      <c r="Q108" s="23" t="s">
        <v>837</v>
      </c>
    </row>
    <row r="109" spans="1:17" ht="38.25">
      <c r="A109" s="22" t="e">
        <f ca="1">MATCH(B109,UNIQUE($B$2:$B$1010),0)-1 &amp; ", " &amp; COUNTIF($B$2:B109,B109)-1</f>
        <v>#NAME?</v>
      </c>
      <c r="B109" s="22" t="s">
        <v>666</v>
      </c>
      <c r="C109" s="22" t="s">
        <v>838</v>
      </c>
      <c r="D109" s="23" t="s">
        <v>695</v>
      </c>
      <c r="E109" s="23"/>
      <c r="F109" s="23" t="str">
        <f t="shared" si="0"/>
        <v>{CTR}Inspired by the works of:{NEW}-Goppier{NEW}-Lorenzooone{NEW}-im a blisy{NEW}-RETIRE{nCTR}</v>
      </c>
      <c r="G109" s="23" t="s">
        <v>839</v>
      </c>
      <c r="H109" s="23" t="s">
        <v>840</v>
      </c>
      <c r="I109" s="23" t="s">
        <v>841</v>
      </c>
      <c r="J109" s="23"/>
      <c r="K109" s="23" t="s">
        <v>842</v>
      </c>
      <c r="L109" s="23"/>
      <c r="M109" s="23" t="s">
        <v>843</v>
      </c>
      <c r="N109" s="23"/>
      <c r="O109" s="23"/>
      <c r="P109" s="23"/>
      <c r="Q109" s="23" t="s">
        <v>844</v>
      </c>
    </row>
    <row r="110" spans="1:17" ht="63.75">
      <c r="A110" s="22" t="e">
        <f ca="1">MATCH(B110,UNIQUE($B$2:$B$1010),0)-1 &amp; ", " &amp; COUNTIF($B$2:B110,B110)-1</f>
        <v>#NAME?</v>
      </c>
      <c r="B110" s="22" t="s">
        <v>666</v>
      </c>
      <c r="C110" s="22" t="s">
        <v>845</v>
      </c>
      <c r="D110" s="23" t="s">
        <v>695</v>
      </c>
      <c r="E110" s="23"/>
      <c r="F110" s="23" t="str">
        <f t="shared" si="0"/>
        <v>{CTR}Programs used:{NEW}-HexManiacAdvance{NEW}-PKHeX{NEW}-WC3Tool{NEW}-Usenti{NEW}-SappyMidToAGB{nCTR}</v>
      </c>
      <c r="G110" s="23" t="s">
        <v>846</v>
      </c>
      <c r="H110" s="23" t="s">
        <v>847</v>
      </c>
      <c r="I110" s="23" t="s">
        <v>848</v>
      </c>
      <c r="J110" s="23"/>
      <c r="K110" s="23" t="s">
        <v>849</v>
      </c>
      <c r="L110" s="23"/>
      <c r="M110" s="23" t="s">
        <v>850</v>
      </c>
      <c r="N110" s="23"/>
      <c r="O110" s="23"/>
      <c r="P110" s="23"/>
      <c r="Q110" s="23" t="s">
        <v>851</v>
      </c>
    </row>
    <row r="111" spans="1:17" ht="89.25">
      <c r="A111" s="22" t="e">
        <f ca="1">MATCH(B111,UNIQUE($B$2:$B$1010),0)-1 &amp; ", " &amp; COUNTIF($B$2:B111,B111)-1</f>
        <v>#NAME?</v>
      </c>
      <c r="B111" s="22" t="s">
        <v>666</v>
      </c>
      <c r="C111" s="22" t="s">
        <v>852</v>
      </c>
      <c r="D111" s="23" t="s">
        <v>695</v>
      </c>
      <c r="E111" s="23"/>
      <c r="F111" s="23" t="str">
        <f t="shared" si="0"/>
        <v>{CTR}Open Source Code and Libraries:{NEW}-libtonc-examples{NEW}-PokemonGen3toGenX{NEW}-gba-link-connection{NEW}-awesome-gbadev{NEW}-arduino-poke-gen2{nCTR}</v>
      </c>
      <c r="G111" s="23" t="s">
        <v>853</v>
      </c>
      <c r="H111" s="23" t="s">
        <v>854</v>
      </c>
      <c r="I111" s="23" t="s">
        <v>855</v>
      </c>
      <c r="J111" s="23"/>
      <c r="K111" s="23" t="s">
        <v>856</v>
      </c>
      <c r="L111" s="23"/>
      <c r="M111" s="23" t="s">
        <v>857</v>
      </c>
      <c r="N111" s="23"/>
      <c r="O111" s="23"/>
      <c r="P111" s="23"/>
      <c r="Q111" s="23" t="s">
        <v>858</v>
      </c>
    </row>
    <row r="112" spans="1:17" ht="63.75">
      <c r="A112" s="22" t="e">
        <f ca="1">MATCH(B112,UNIQUE($B$2:$B$1010),0)-1 &amp; ", " &amp; COUNTIF($B$2:B112,B112)-1</f>
        <v>#NAME?</v>
      </c>
      <c r="B112" s="22" t="s">
        <v>666</v>
      </c>
      <c r="C112" s="22" t="s">
        <v>859</v>
      </c>
      <c r="D112" s="23" t="s">
        <v>695</v>
      </c>
      <c r="E112" s="23"/>
      <c r="F112" s="23" t="str">
        <f t="shared" si="0"/>
        <v>{CTR}Research resources:{NEW}-arm-docs{NEW}-PokemonGen3toGenX{NEW}{NEW}Full links can be found on this program’s GitHub{nCTR}</v>
      </c>
      <c r="G112" s="23" t="s">
        <v>860</v>
      </c>
      <c r="H112" s="23" t="s">
        <v>861</v>
      </c>
      <c r="I112" s="23" t="s">
        <v>862</v>
      </c>
      <c r="J112" s="23"/>
      <c r="K112" s="23" t="s">
        <v>863</v>
      </c>
      <c r="L112" s="23"/>
      <c r="M112" s="23" t="s">
        <v>864</v>
      </c>
      <c r="N112" s="23"/>
      <c r="O112" s="23"/>
      <c r="P112" s="23"/>
      <c r="Q112" s="23" t="s">
        <v>865</v>
      </c>
    </row>
    <row r="113" spans="1:17" ht="38.25">
      <c r="A113" s="22" t="e">
        <f ca="1">MATCH(B113,UNIQUE($B$2:$B$1010),0)-1 &amp; ", " &amp; COUNTIF($B$2:B113,B113)-1</f>
        <v>#NAME?</v>
      </c>
      <c r="B113" s="22" t="s">
        <v>666</v>
      </c>
      <c r="C113" s="22" t="s">
        <v>866</v>
      </c>
      <c r="D113" s="23" t="s">
        <v>695</v>
      </c>
      <c r="E113" s="23"/>
      <c r="F113" s="23" t="str">
        <f t="shared" si="0"/>
        <v>{CTR}ROM data obtained from decompilations created by the PRET team{nCTR}</v>
      </c>
      <c r="G113" s="23" t="s">
        <v>867</v>
      </c>
      <c r="H113" s="23" t="s">
        <v>868</v>
      </c>
      <c r="I113" s="23" t="s">
        <v>869</v>
      </c>
      <c r="J113" s="23"/>
      <c r="K113" s="23" t="s">
        <v>870</v>
      </c>
      <c r="L113" s="23"/>
      <c r="M113" s="23" t="s">
        <v>871</v>
      </c>
      <c r="N113" s="23"/>
      <c r="O113" s="23"/>
      <c r="P113" s="23"/>
      <c r="Q113" s="23" t="s">
        <v>872</v>
      </c>
    </row>
    <row r="114" spans="1:17" ht="38.25">
      <c r="A114" s="22" t="e">
        <f ca="1">MATCH(B114,UNIQUE($B$2:$B$1010),0)-1 &amp; ", " &amp; COUNTIF($B$2:B114,B114)-1</f>
        <v>#NAME?</v>
      </c>
      <c r="B114" s="22" t="s">
        <v>666</v>
      </c>
      <c r="C114" s="22" t="s">
        <v>873</v>
      </c>
      <c r="D114" s="23" t="s">
        <v>695</v>
      </c>
      <c r="E114" s="23"/>
      <c r="F114" s="23" t="str">
        <f t="shared" si="0"/>
        <v>{CTR}POKéMON data obtained from:{NEW}-Bulbapedia{NEW}-Serebii{NEW}-PokeAPI.com{nCTR}</v>
      </c>
      <c r="G114" s="23" t="s">
        <v>874</v>
      </c>
      <c r="H114" s="23" t="s">
        <v>875</v>
      </c>
      <c r="I114" s="23" t="s">
        <v>876</v>
      </c>
      <c r="J114" s="23"/>
      <c r="K114" s="23" t="s">
        <v>877</v>
      </c>
      <c r="L114" s="23"/>
      <c r="M114" s="23" t="s">
        <v>878</v>
      </c>
      <c r="N114" s="23"/>
      <c r="O114" s="23"/>
      <c r="P114" s="23"/>
      <c r="Q114" s="23" t="s">
        <v>879</v>
      </c>
    </row>
    <row r="115" spans="1:17" ht="51">
      <c r="A115" s="22" t="e">
        <f ca="1">MATCH(B115,UNIQUE($B$2:$B$1010),0)-1 &amp; ", " &amp; COUNTIF($B$2:B115,B115)-1</f>
        <v>#NAME?</v>
      </c>
      <c r="B115" s="22" t="s">
        <v>666</v>
      </c>
      <c r="C115" s="22" t="s">
        <v>880</v>
      </c>
      <c r="D115" s="23" t="s">
        <v>695</v>
      </c>
      <c r="E115" s="23"/>
      <c r="F115" s="23" t="str">
        <f t="shared" si="0"/>
        <v>{CTR}Discord community assistance:{NEW}-Hex Maniac Advance{NEW} Development{NEW}-gbadev{NEW}-pret{nCTR}</v>
      </c>
      <c r="G115" s="23" t="s">
        <v>881</v>
      </c>
      <c r="H115" s="23" t="s">
        <v>882</v>
      </c>
      <c r="I115" s="23" t="s">
        <v>883</v>
      </c>
      <c r="J115" s="23"/>
      <c r="K115" s="23" t="s">
        <v>884</v>
      </c>
      <c r="L115" s="23"/>
      <c r="M115" s="23" t="s">
        <v>885</v>
      </c>
      <c r="N115" s="23"/>
      <c r="O115" s="23"/>
      <c r="P115" s="23"/>
      <c r="Q115" s="23" t="s">
        <v>886</v>
      </c>
    </row>
    <row r="116" spans="1:17" ht="25.5">
      <c r="A116" s="22" t="e">
        <f ca="1">MATCH(B116,UNIQUE($B$2:$B$1010),0)-1 &amp; ", " &amp; COUNTIF($B$2:B116,B116)-1</f>
        <v>#NAME?</v>
      </c>
      <c r="B116" s="22" t="s">
        <v>666</v>
      </c>
      <c r="C116" s="22" t="s">
        <v>887</v>
      </c>
      <c r="D116" s="23" t="s">
        <v>695</v>
      </c>
      <c r="E116" s="23"/>
      <c r="F116" s="23" t="str">
        <f t="shared" si="0"/>
        <v>{CTR}Writing assistance:{NEW}-Mad{nCTR}</v>
      </c>
      <c r="G116" s="23" t="s">
        <v>888</v>
      </c>
      <c r="H116" s="23" t="s">
        <v>889</v>
      </c>
      <c r="I116" s="23" t="s">
        <v>890</v>
      </c>
      <c r="J116" s="23"/>
      <c r="K116" s="23" t="s">
        <v>891</v>
      </c>
      <c r="L116" s="23"/>
      <c r="M116" s="23" t="s">
        <v>892</v>
      </c>
      <c r="N116" s="23"/>
      <c r="O116" s="23"/>
      <c r="P116" s="23"/>
      <c r="Q116" s="23" t="s">
        <v>893</v>
      </c>
    </row>
    <row r="117" spans="1:17" ht="63.75">
      <c r="A117" s="22" t="e">
        <f ca="1">MATCH(B117,UNIQUE($B$2:$B$1010),0)-1 &amp; ", " &amp; COUNTIF($B$2:B117,B117)-1</f>
        <v>#NAME?</v>
      </c>
      <c r="B117" s="22" t="s">
        <v>666</v>
      </c>
      <c r="C117" s="22" t="s">
        <v>894</v>
      </c>
      <c r="D117" s="23" t="s">
        <v>695</v>
      </c>
      <c r="E117" s="23"/>
      <c r="F117" s="23" t="str">
        <f t="shared" si="0"/>
        <v>{CTR}An immense thanks to Lorenzooone for their assistance in reading &amp; writing save data. Without them, this project would not have been possible.{nCTR}</v>
      </c>
      <c r="G117" s="23" t="s">
        <v>895</v>
      </c>
      <c r="H117" s="23" t="s">
        <v>896</v>
      </c>
      <c r="I117" s="23" t="s">
        <v>897</v>
      </c>
      <c r="J117" s="23"/>
      <c r="K117" s="23" t="s">
        <v>898</v>
      </c>
      <c r="L117" s="23"/>
      <c r="M117" s="23" t="s">
        <v>899</v>
      </c>
      <c r="N117" s="23"/>
      <c r="O117" s="23"/>
      <c r="P117" s="23"/>
      <c r="Q117" s="23" t="s">
        <v>900</v>
      </c>
    </row>
    <row r="118" spans="1:17" ht="51">
      <c r="A118" s="22" t="e">
        <f ca="1">MATCH(B118,UNIQUE($B$2:$B$1010),0)-1 &amp; ", " &amp; COUNTIF($B$2:B118,B118)-1</f>
        <v>#NAME?</v>
      </c>
      <c r="B118" s="22" t="s">
        <v>666</v>
      </c>
      <c r="C118" s="22" t="s">
        <v>901</v>
      </c>
      <c r="D118" s="23" t="s">
        <v>695</v>
      </c>
      <c r="E118" s="23"/>
      <c r="F118" s="23" t="str">
        <f t="shared" si="0"/>
        <v>{CTR}Special thanks to roku, Sleepy, Eza, sarahtonin, Basabi, Mad, and everyone who has listened to me talk about this for multiple years!{nCTR}</v>
      </c>
      <c r="G118" s="23" t="s">
        <v>902</v>
      </c>
      <c r="H118" s="23" t="s">
        <v>903</v>
      </c>
      <c r="I118" s="23" t="s">
        <v>904</v>
      </c>
      <c r="J118" s="23"/>
      <c r="K118" s="23" t="s">
        <v>905</v>
      </c>
      <c r="L118" s="23"/>
      <c r="M118" s="23" t="s">
        <v>906</v>
      </c>
      <c r="N118" s="23"/>
      <c r="O118" s="23"/>
      <c r="P118" s="23"/>
      <c r="Q118" s="23" t="s">
        <v>907</v>
      </c>
    </row>
    <row r="119" spans="1:17" ht="51">
      <c r="A119" s="22" t="e">
        <f ca="1">MATCH(B119,UNIQUE($B$2:$B$1010),0)-1 &amp; ", " &amp; COUNTIF($B$2:B119,B119)-1</f>
        <v>#NAME?</v>
      </c>
      <c r="B119" s="22" t="s">
        <v>666</v>
      </c>
      <c r="C119" s="22" t="s">
        <v>908</v>
      </c>
      <c r="D119" s="23" t="s">
        <v>695</v>
      </c>
      <c r="E119" s="23"/>
      <c r="F119" s="23" t="str">
        <f t="shared" si="0"/>
        <v>{CTR}All POKéMON names, sprites, and names of related resources are copyright Nintendo, Creatures, and GAME FREAK.{nCTR}</v>
      </c>
      <c r="G119" s="23" t="s">
        <v>909</v>
      </c>
      <c r="H119" s="23" t="s">
        <v>910</v>
      </c>
      <c r="I119" s="23" t="s">
        <v>911</v>
      </c>
      <c r="J119" s="23"/>
      <c r="K119" s="23" t="s">
        <v>912</v>
      </c>
      <c r="L119" s="23"/>
      <c r="M119" s="23" t="s">
        <v>913</v>
      </c>
      <c r="N119" s="23"/>
      <c r="O119" s="23"/>
      <c r="P119" s="23"/>
      <c r="Q119" s="23" t="s">
        <v>914</v>
      </c>
    </row>
    <row r="120" spans="1:17" ht="63.75">
      <c r="A120" s="22" t="e">
        <f ca="1">MATCH(B120,UNIQUE($B$2:$B$1010),0)-1 &amp; ", " &amp; COUNTIF($B$2:B120,B120)-1</f>
        <v>#NAME?</v>
      </c>
      <c r="B120" s="22" t="s">
        <v>666</v>
      </c>
      <c r="C120" s="22" t="s">
        <v>915</v>
      </c>
      <c r="D120" s="23" t="s">
        <v>695</v>
      </c>
      <c r="E120" s="23"/>
      <c r="F120" s="23" t="str">
        <f t="shared" ref="F120:F121" si="1">H120</f>
        <v>{CTR}This project is not endorsed or supported by GAME FREAK/Nintendo.{NEW}{NEW}Please support the original developers.{nCTR}</v>
      </c>
      <c r="G120" s="23" t="s">
        <v>916</v>
      </c>
      <c r="H120" s="23" t="s">
        <v>917</v>
      </c>
      <c r="I120" s="23" t="s">
        <v>918</v>
      </c>
      <c r="J120" s="23"/>
      <c r="K120" s="23" t="s">
        <v>919</v>
      </c>
      <c r="L120" s="23"/>
      <c r="M120" s="23" t="s">
        <v>920</v>
      </c>
      <c r="N120" s="23"/>
      <c r="O120" s="23"/>
      <c r="P120" s="23"/>
      <c r="Q120" s="23" t="s">
        <v>921</v>
      </c>
    </row>
    <row r="121" spans="1:17" s="85" customFormat="1" ht="25.5">
      <c r="A121" s="83" t="e">
        <f ca="1">MATCH(B121,UNIQUE($B$2:$B$1010),0)-1 &amp; ", " &amp; COUNTIF($B$2:B121,B121)-1</f>
        <v>#NAME?</v>
      </c>
      <c r="B121" s="83" t="s">
        <v>5192</v>
      </c>
      <c r="C121" s="83" t="s">
        <v>5193</v>
      </c>
      <c r="D121" s="84" t="s">
        <v>695</v>
      </c>
      <c r="E121" s="84"/>
      <c r="F121" s="84" t="str">
        <f t="shared" si="1"/>
        <v>TESTING LOL</v>
      </c>
      <c r="G121" s="84"/>
      <c r="H121" s="84" t="s">
        <v>5194</v>
      </c>
      <c r="I121" s="84"/>
      <c r="J121" s="84"/>
      <c r="K121" s="84"/>
      <c r="L121" s="84"/>
      <c r="M121" s="84"/>
      <c r="N121" s="84"/>
      <c r="O121" s="84"/>
      <c r="P121" s="84"/>
      <c r="Q121" s="84"/>
    </row>
    <row r="122" spans="1:17" ht="25.5">
      <c r="A122" s="24" t="e">
        <f ca="1">MATCH(B122,UNIQUE($B$2:$B$1010),0)-1 &amp; ", " &amp; COUNTIF($B$2:B122,B122)-1</f>
        <v>#NAME?</v>
      </c>
      <c r="B122" s="24" t="s">
        <v>922</v>
      </c>
      <c r="C122" s="24">
        <v>0</v>
      </c>
      <c r="D122" s="25" t="s">
        <v>498</v>
      </c>
      <c r="E122" s="25"/>
      <c r="F122" s="25" t="str">
        <f t="shared" si="0"/>
        <v>MISSINGNO.</v>
      </c>
      <c r="G122" s="25" t="s">
        <v>923</v>
      </c>
      <c r="H122" s="25" t="s">
        <v>924</v>
      </c>
      <c r="I122" s="25" t="s">
        <v>924</v>
      </c>
      <c r="J122" s="25" t="s">
        <v>924</v>
      </c>
      <c r="K122" s="25" t="s">
        <v>924</v>
      </c>
      <c r="L122" s="25" t="s">
        <v>924</v>
      </c>
      <c r="M122" s="25" t="s">
        <v>924</v>
      </c>
      <c r="N122" s="25" t="s">
        <v>924</v>
      </c>
      <c r="O122" s="25" t="s">
        <v>924</v>
      </c>
      <c r="P122" s="25" t="s">
        <v>924</v>
      </c>
      <c r="Q122" s="25" t="s">
        <v>924</v>
      </c>
    </row>
    <row r="123" spans="1:17" ht="25.5">
      <c r="A123" s="24" t="e">
        <f ca="1">MATCH(B123,UNIQUE($B$2:$B$1010),0)-1 &amp; ", " &amp; COUNTIF($B$2:B123,B123)-1</f>
        <v>#NAME?</v>
      </c>
      <c r="B123" s="24" t="s">
        <v>922</v>
      </c>
      <c r="C123" s="24">
        <v>1</v>
      </c>
      <c r="D123" s="25" t="s">
        <v>498</v>
      </c>
      <c r="E123" s="25"/>
      <c r="F123" s="25" t="str">
        <f t="shared" si="0"/>
        <v>BULBASAUR</v>
      </c>
      <c r="G123" s="25" t="s">
        <v>925</v>
      </c>
      <c r="H123" s="25" t="s">
        <v>926</v>
      </c>
      <c r="I123" s="25" t="s">
        <v>927</v>
      </c>
      <c r="J123" s="25" t="s">
        <v>928</v>
      </c>
      <c r="K123" s="25" t="s">
        <v>926</v>
      </c>
      <c r="L123" s="25" t="s">
        <v>926</v>
      </c>
      <c r="M123" s="25" t="s">
        <v>926</v>
      </c>
      <c r="N123" s="25" t="s">
        <v>929</v>
      </c>
      <c r="O123" s="25" t="s">
        <v>930</v>
      </c>
      <c r="P123" s="25" t="s">
        <v>931</v>
      </c>
      <c r="Q123" s="25" t="s">
        <v>926</v>
      </c>
    </row>
    <row r="124" spans="1:17" ht="25.5">
      <c r="A124" s="24" t="e">
        <f ca="1">MATCH(B124,UNIQUE($B$2:$B$1010),0)-1 &amp; ", " &amp; COUNTIF($B$2:B124,B124)-1</f>
        <v>#NAME?</v>
      </c>
      <c r="B124" s="24" t="s">
        <v>922</v>
      </c>
      <c r="C124" s="24">
        <v>2</v>
      </c>
      <c r="D124" s="25" t="s">
        <v>498</v>
      </c>
      <c r="E124" s="25"/>
      <c r="F124" s="25" t="str">
        <f t="shared" si="0"/>
        <v>IVYSAUR</v>
      </c>
      <c r="G124" s="25" t="s">
        <v>932</v>
      </c>
      <c r="H124" s="25" t="s">
        <v>933</v>
      </c>
      <c r="I124" s="25" t="s">
        <v>934</v>
      </c>
      <c r="J124" s="25" t="s">
        <v>935</v>
      </c>
      <c r="K124" s="25" t="s">
        <v>933</v>
      </c>
      <c r="L124" s="25" t="s">
        <v>933</v>
      </c>
      <c r="M124" s="25" t="s">
        <v>933</v>
      </c>
      <c r="N124" s="25" t="s">
        <v>936</v>
      </c>
      <c r="O124" s="25" t="s">
        <v>937</v>
      </c>
      <c r="P124" s="25" t="s">
        <v>937</v>
      </c>
      <c r="Q124" s="25" t="s">
        <v>933</v>
      </c>
    </row>
    <row r="125" spans="1:17" ht="25.5">
      <c r="A125" s="24" t="e">
        <f ca="1">MATCH(B125,UNIQUE($B$2:$B$1010),0)-1 &amp; ", " &amp; COUNTIF($B$2:B125,B125)-1</f>
        <v>#NAME?</v>
      </c>
      <c r="B125" s="24" t="s">
        <v>922</v>
      </c>
      <c r="C125" s="24">
        <v>3</v>
      </c>
      <c r="D125" s="25" t="s">
        <v>498</v>
      </c>
      <c r="E125" s="25"/>
      <c r="F125" s="25" t="str">
        <f t="shared" si="0"/>
        <v>VENUSAUR</v>
      </c>
      <c r="G125" s="25" t="s">
        <v>938</v>
      </c>
      <c r="H125" s="25" t="s">
        <v>939</v>
      </c>
      <c r="I125" s="25" t="s">
        <v>940</v>
      </c>
      <c r="J125" s="25" t="s">
        <v>941</v>
      </c>
      <c r="K125" s="25" t="s">
        <v>939</v>
      </c>
      <c r="L125" s="25" t="s">
        <v>939</v>
      </c>
      <c r="M125" s="25" t="s">
        <v>939</v>
      </c>
      <c r="N125" s="25" t="s">
        <v>942</v>
      </c>
      <c r="O125" s="25" t="s">
        <v>943</v>
      </c>
      <c r="P125" s="25" t="s">
        <v>943</v>
      </c>
      <c r="Q125" s="25" t="s">
        <v>939</v>
      </c>
    </row>
    <row r="126" spans="1:17" ht="25.5">
      <c r="A126" s="24" t="e">
        <f ca="1">MATCH(B126,UNIQUE($B$2:$B$1010),0)-1 &amp; ", " &amp; COUNTIF($B$2:B126,B126)-1</f>
        <v>#NAME?</v>
      </c>
      <c r="B126" s="24" t="s">
        <v>922</v>
      </c>
      <c r="C126" s="24">
        <v>4</v>
      </c>
      <c r="D126" s="25" t="s">
        <v>498</v>
      </c>
      <c r="E126" s="25"/>
      <c r="F126" s="25" t="str">
        <f t="shared" si="0"/>
        <v>CHARMANDER</v>
      </c>
      <c r="G126" s="25" t="s">
        <v>944</v>
      </c>
      <c r="H126" s="25" t="s">
        <v>945</v>
      </c>
      <c r="I126" s="25" t="s">
        <v>946</v>
      </c>
      <c r="J126" s="25" t="s">
        <v>947</v>
      </c>
      <c r="K126" s="25" t="s">
        <v>945</v>
      </c>
      <c r="L126" s="25" t="s">
        <v>945</v>
      </c>
      <c r="M126" s="25" t="s">
        <v>945</v>
      </c>
      <c r="N126" s="25" t="s">
        <v>948</v>
      </c>
      <c r="O126" s="25" t="s">
        <v>949</v>
      </c>
      <c r="P126" s="25" t="s">
        <v>950</v>
      </c>
      <c r="Q126" s="25" t="s">
        <v>945</v>
      </c>
    </row>
    <row r="127" spans="1:17" ht="25.5">
      <c r="A127" s="24" t="e">
        <f ca="1">MATCH(B127,UNIQUE($B$2:$B$1010),0)-1 &amp; ", " &amp; COUNTIF($B$2:B127,B127)-1</f>
        <v>#NAME?</v>
      </c>
      <c r="B127" s="24" t="s">
        <v>922</v>
      </c>
      <c r="C127" s="24">
        <v>5</v>
      </c>
      <c r="D127" s="25" t="s">
        <v>498</v>
      </c>
      <c r="E127" s="25"/>
      <c r="F127" s="25" t="str">
        <f t="shared" si="0"/>
        <v>CHARMELEON</v>
      </c>
      <c r="G127" s="25" t="s">
        <v>951</v>
      </c>
      <c r="H127" s="25" t="s">
        <v>952</v>
      </c>
      <c r="I127" s="25" t="s">
        <v>953</v>
      </c>
      <c r="J127" s="25" t="s">
        <v>954</v>
      </c>
      <c r="K127" s="25" t="s">
        <v>952</v>
      </c>
      <c r="L127" s="25" t="s">
        <v>952</v>
      </c>
      <c r="M127" s="25" t="s">
        <v>952</v>
      </c>
      <c r="N127" s="25" t="s">
        <v>955</v>
      </c>
      <c r="O127" s="25" t="s">
        <v>956</v>
      </c>
      <c r="P127" s="25" t="s">
        <v>957</v>
      </c>
      <c r="Q127" s="25" t="s">
        <v>952</v>
      </c>
    </row>
    <row r="128" spans="1:17" ht="25.5">
      <c r="A128" s="24" t="e">
        <f ca="1">MATCH(B128,UNIQUE($B$2:$B$1010),0)-1 &amp; ", " &amp; COUNTIF($B$2:B128,B128)-1</f>
        <v>#NAME?</v>
      </c>
      <c r="B128" s="24" t="s">
        <v>922</v>
      </c>
      <c r="C128" s="24">
        <v>6</v>
      </c>
      <c r="D128" s="25" t="s">
        <v>498</v>
      </c>
      <c r="E128" s="25"/>
      <c r="F128" s="25" t="str">
        <f t="shared" si="0"/>
        <v>CHARIZARD</v>
      </c>
      <c r="G128" s="25" t="s">
        <v>958</v>
      </c>
      <c r="H128" s="25" t="s">
        <v>959</v>
      </c>
      <c r="I128" s="25" t="s">
        <v>960</v>
      </c>
      <c r="J128" s="25" t="s">
        <v>961</v>
      </c>
      <c r="K128" s="25" t="s">
        <v>959</v>
      </c>
      <c r="L128" s="25" t="s">
        <v>959</v>
      </c>
      <c r="M128" s="25" t="s">
        <v>959</v>
      </c>
      <c r="N128" s="25" t="s">
        <v>962</v>
      </c>
      <c r="O128" s="25" t="s">
        <v>963</v>
      </c>
      <c r="P128" s="25" t="s">
        <v>964</v>
      </c>
      <c r="Q128" s="25" t="s">
        <v>959</v>
      </c>
    </row>
    <row r="129" spans="1:17" ht="25.5">
      <c r="A129" s="24" t="e">
        <f ca="1">MATCH(B129,UNIQUE($B$2:$B$1010),0)-1 &amp; ", " &amp; COUNTIF($B$2:B129,B129)-1</f>
        <v>#NAME?</v>
      </c>
      <c r="B129" s="24" t="s">
        <v>922</v>
      </c>
      <c r="C129" s="24">
        <v>7</v>
      </c>
      <c r="D129" s="25" t="s">
        <v>498</v>
      </c>
      <c r="E129" s="25"/>
      <c r="F129" s="25" t="str">
        <f t="shared" si="0"/>
        <v>SQUIRTLE</v>
      </c>
      <c r="G129" s="25" t="s">
        <v>965</v>
      </c>
      <c r="H129" s="25" t="s">
        <v>966</v>
      </c>
      <c r="I129" s="25" t="s">
        <v>967</v>
      </c>
      <c r="J129" s="25" t="s">
        <v>968</v>
      </c>
      <c r="K129" s="25" t="s">
        <v>966</v>
      </c>
      <c r="L129" s="25" t="s">
        <v>966</v>
      </c>
      <c r="M129" s="25" t="s">
        <v>966</v>
      </c>
      <c r="N129" s="25" t="s">
        <v>969</v>
      </c>
      <c r="O129" s="25" t="s">
        <v>970</v>
      </c>
      <c r="P129" s="25" t="s">
        <v>971</v>
      </c>
      <c r="Q129" s="25" t="s">
        <v>966</v>
      </c>
    </row>
    <row r="130" spans="1:17" ht="25.5">
      <c r="A130" s="24" t="e">
        <f ca="1">MATCH(B130,UNIQUE($B$2:$B$1010),0)-1 &amp; ", " &amp; COUNTIF($B$2:B130,B130)-1</f>
        <v>#NAME?</v>
      </c>
      <c r="B130" s="24" t="s">
        <v>922</v>
      </c>
      <c r="C130" s="24">
        <v>8</v>
      </c>
      <c r="D130" s="25" t="s">
        <v>498</v>
      </c>
      <c r="E130" s="25"/>
      <c r="F130" s="25" t="str">
        <f t="shared" si="0"/>
        <v>WARTORTLE</v>
      </c>
      <c r="G130" s="25" t="s">
        <v>972</v>
      </c>
      <c r="H130" s="25" t="s">
        <v>973</v>
      </c>
      <c r="I130" s="25" t="s">
        <v>974</v>
      </c>
      <c r="J130" s="25" t="s">
        <v>975</v>
      </c>
      <c r="K130" s="25" t="s">
        <v>973</v>
      </c>
      <c r="L130" s="25" t="s">
        <v>973</v>
      </c>
      <c r="M130" s="25" t="s">
        <v>973</v>
      </c>
      <c r="N130" s="25" t="s">
        <v>976</v>
      </c>
      <c r="O130" s="25" t="s">
        <v>977</v>
      </c>
      <c r="P130" s="25" t="s">
        <v>978</v>
      </c>
      <c r="Q130" s="25" t="s">
        <v>973</v>
      </c>
    </row>
    <row r="131" spans="1:17" ht="25.5">
      <c r="A131" s="24" t="e">
        <f ca="1">MATCH(B131,UNIQUE($B$2:$B$1010),0)-1 &amp; ", " &amp; COUNTIF($B$2:B131,B131)-1</f>
        <v>#NAME?</v>
      </c>
      <c r="B131" s="24" t="s">
        <v>922</v>
      </c>
      <c r="C131" s="24">
        <v>9</v>
      </c>
      <c r="D131" s="25" t="s">
        <v>498</v>
      </c>
      <c r="E131" s="25"/>
      <c r="F131" s="25" t="str">
        <f t="shared" si="0"/>
        <v>BLASTOISE</v>
      </c>
      <c r="G131" s="25" t="s">
        <v>979</v>
      </c>
      <c r="H131" s="25" t="s">
        <v>980</v>
      </c>
      <c r="I131" s="25" t="s">
        <v>981</v>
      </c>
      <c r="J131" s="25" t="s">
        <v>982</v>
      </c>
      <c r="K131" s="25" t="s">
        <v>980</v>
      </c>
      <c r="L131" s="25" t="s">
        <v>980</v>
      </c>
      <c r="M131" s="25" t="s">
        <v>980</v>
      </c>
      <c r="N131" s="25" t="s">
        <v>983</v>
      </c>
      <c r="O131" s="25" t="s">
        <v>984</v>
      </c>
      <c r="P131" s="25" t="s">
        <v>985</v>
      </c>
      <c r="Q131" s="25" t="s">
        <v>980</v>
      </c>
    </row>
    <row r="132" spans="1:17" ht="25.5">
      <c r="A132" s="24" t="e">
        <f ca="1">MATCH(B132,UNIQUE($B$2:$B$1010),0)-1 &amp; ", " &amp; COUNTIF($B$2:B132,B132)-1</f>
        <v>#NAME?</v>
      </c>
      <c r="B132" s="24" t="s">
        <v>922</v>
      </c>
      <c r="C132" s="24">
        <v>10</v>
      </c>
      <c r="D132" s="25" t="s">
        <v>498</v>
      </c>
      <c r="E132" s="25"/>
      <c r="F132" s="25" t="str">
        <f t="shared" si="0"/>
        <v>CATERPIE</v>
      </c>
      <c r="G132" s="25" t="s">
        <v>986</v>
      </c>
      <c r="H132" s="25" t="s">
        <v>987</v>
      </c>
      <c r="I132" s="25" t="s">
        <v>988</v>
      </c>
      <c r="J132" s="25" t="s">
        <v>989</v>
      </c>
      <c r="K132" s="25" t="s">
        <v>987</v>
      </c>
      <c r="L132" s="25" t="s">
        <v>987</v>
      </c>
      <c r="M132" s="25" t="s">
        <v>987</v>
      </c>
      <c r="N132" s="25" t="s">
        <v>990</v>
      </c>
      <c r="O132" s="25" t="s">
        <v>991</v>
      </c>
      <c r="P132" s="25" t="s">
        <v>992</v>
      </c>
      <c r="Q132" s="25" t="s">
        <v>987</v>
      </c>
    </row>
    <row r="133" spans="1:17" ht="25.5">
      <c r="A133" s="24" t="e">
        <f ca="1">MATCH(B133,UNIQUE($B$2:$B$1010),0)-1 &amp; ", " &amp; COUNTIF($B$2:B133,B133)-1</f>
        <v>#NAME?</v>
      </c>
      <c r="B133" s="24" t="s">
        <v>922</v>
      </c>
      <c r="C133" s="24">
        <v>11</v>
      </c>
      <c r="D133" s="25" t="s">
        <v>498</v>
      </c>
      <c r="E133" s="25"/>
      <c r="F133" s="25" t="str">
        <f t="shared" si="0"/>
        <v>METAPOD</v>
      </c>
      <c r="G133" s="25" t="s">
        <v>993</v>
      </c>
      <c r="H133" s="25" t="s">
        <v>994</v>
      </c>
      <c r="I133" s="25" t="s">
        <v>995</v>
      </c>
      <c r="J133" s="25" t="s">
        <v>996</v>
      </c>
      <c r="K133" s="25" t="s">
        <v>994</v>
      </c>
      <c r="L133" s="25" t="s">
        <v>994</v>
      </c>
      <c r="M133" s="25" t="s">
        <v>994</v>
      </c>
      <c r="N133" s="25" t="s">
        <v>997</v>
      </c>
      <c r="O133" s="25" t="s">
        <v>998</v>
      </c>
      <c r="P133" s="25" t="s">
        <v>999</v>
      </c>
      <c r="Q133" s="25" t="s">
        <v>994</v>
      </c>
    </row>
    <row r="134" spans="1:17" ht="25.5">
      <c r="A134" s="24" t="e">
        <f ca="1">MATCH(B134,UNIQUE($B$2:$B$1010),0)-1 &amp; ", " &amp; COUNTIF($B$2:B134,B134)-1</f>
        <v>#NAME?</v>
      </c>
      <c r="B134" s="24" t="s">
        <v>922</v>
      </c>
      <c r="C134" s="24">
        <v>12</v>
      </c>
      <c r="D134" s="25" t="s">
        <v>498</v>
      </c>
      <c r="E134" s="25"/>
      <c r="F134" s="25" t="str">
        <f t="shared" si="0"/>
        <v>BUTTERFREE</v>
      </c>
      <c r="G134" s="25" t="s">
        <v>1000</v>
      </c>
      <c r="H134" s="25" t="s">
        <v>1001</v>
      </c>
      <c r="I134" s="25" t="s">
        <v>1002</v>
      </c>
      <c r="J134" s="25" t="s">
        <v>1003</v>
      </c>
      <c r="K134" s="25" t="s">
        <v>1001</v>
      </c>
      <c r="L134" s="25" t="s">
        <v>1001</v>
      </c>
      <c r="M134" s="25" t="s">
        <v>1001</v>
      </c>
      <c r="N134" s="25" t="s">
        <v>1004</v>
      </c>
      <c r="O134" s="25" t="s">
        <v>1005</v>
      </c>
      <c r="P134" s="25" t="s">
        <v>1005</v>
      </c>
      <c r="Q134" s="25" t="s">
        <v>1001</v>
      </c>
    </row>
    <row r="135" spans="1:17" ht="25.5">
      <c r="A135" s="24" t="e">
        <f ca="1">MATCH(B135,UNIQUE($B$2:$B$1010),0)-1 &amp; ", " &amp; COUNTIF($B$2:B135,B135)-1</f>
        <v>#NAME?</v>
      </c>
      <c r="B135" s="24" t="s">
        <v>922</v>
      </c>
      <c r="C135" s="24">
        <v>13</v>
      </c>
      <c r="D135" s="25" t="s">
        <v>498</v>
      </c>
      <c r="E135" s="25"/>
      <c r="F135" s="25" t="str">
        <f t="shared" si="0"/>
        <v>WEEDLE</v>
      </c>
      <c r="G135" s="25" t="s">
        <v>1006</v>
      </c>
      <c r="H135" s="25" t="s">
        <v>1007</v>
      </c>
      <c r="I135" s="25" t="s">
        <v>1008</v>
      </c>
      <c r="J135" s="25" t="s">
        <v>1009</v>
      </c>
      <c r="K135" s="25" t="s">
        <v>1007</v>
      </c>
      <c r="L135" s="25" t="s">
        <v>1007</v>
      </c>
      <c r="M135" s="25" t="s">
        <v>1007</v>
      </c>
      <c r="N135" s="25" t="s">
        <v>1010</v>
      </c>
      <c r="O135" s="25" t="s">
        <v>1011</v>
      </c>
      <c r="P135" s="25" t="s">
        <v>1012</v>
      </c>
      <c r="Q135" s="25" t="s">
        <v>1007</v>
      </c>
    </row>
    <row r="136" spans="1:17" ht="25.5">
      <c r="A136" s="24" t="e">
        <f ca="1">MATCH(B136,UNIQUE($B$2:$B$1010),0)-1 &amp; ", " &amp; COUNTIF($B$2:B136,B136)-1</f>
        <v>#NAME?</v>
      </c>
      <c r="B136" s="24" t="s">
        <v>922</v>
      </c>
      <c r="C136" s="24">
        <v>14</v>
      </c>
      <c r="D136" s="25" t="s">
        <v>498</v>
      </c>
      <c r="E136" s="25"/>
      <c r="F136" s="25" t="str">
        <f t="shared" si="0"/>
        <v>KAKUNA</v>
      </c>
      <c r="G136" s="25" t="s">
        <v>1013</v>
      </c>
      <c r="H136" s="25" t="s">
        <v>1014</v>
      </c>
      <c r="I136" s="25" t="s">
        <v>1015</v>
      </c>
      <c r="J136" s="25" t="s">
        <v>1016</v>
      </c>
      <c r="K136" s="25" t="s">
        <v>1014</v>
      </c>
      <c r="L136" s="25" t="s">
        <v>1014</v>
      </c>
      <c r="M136" s="25" t="s">
        <v>1014</v>
      </c>
      <c r="N136" s="25" t="s">
        <v>1017</v>
      </c>
      <c r="O136" s="25" t="s">
        <v>1018</v>
      </c>
      <c r="P136" s="25" t="s">
        <v>1019</v>
      </c>
      <c r="Q136" s="25" t="s">
        <v>1014</v>
      </c>
    </row>
    <row r="137" spans="1:17" ht="25.5">
      <c r="A137" s="24" t="e">
        <f ca="1">MATCH(B137,UNIQUE($B$2:$B$1010),0)-1 &amp; ", " &amp; COUNTIF($B$2:B137,B137)-1</f>
        <v>#NAME?</v>
      </c>
      <c r="B137" s="24" t="s">
        <v>922</v>
      </c>
      <c r="C137" s="24">
        <v>15</v>
      </c>
      <c r="D137" s="25" t="s">
        <v>498</v>
      </c>
      <c r="E137" s="25"/>
      <c r="F137" s="25" t="str">
        <f t="shared" si="0"/>
        <v>BEEDRILL</v>
      </c>
      <c r="G137" s="25" t="s">
        <v>1020</v>
      </c>
      <c r="H137" s="25" t="s">
        <v>1021</v>
      </c>
      <c r="I137" s="25" t="s">
        <v>1022</v>
      </c>
      <c r="J137" s="25" t="s">
        <v>1023</v>
      </c>
      <c r="K137" s="25" t="s">
        <v>1021</v>
      </c>
      <c r="L137" s="25" t="s">
        <v>1021</v>
      </c>
      <c r="M137" s="25" t="s">
        <v>1021</v>
      </c>
      <c r="N137" s="25" t="s">
        <v>1024</v>
      </c>
      <c r="O137" s="25" t="s">
        <v>1025</v>
      </c>
      <c r="P137" s="25" t="s">
        <v>1026</v>
      </c>
      <c r="Q137" s="25" t="s">
        <v>1021</v>
      </c>
    </row>
    <row r="138" spans="1:17" ht="25.5">
      <c r="A138" s="24" t="e">
        <f ca="1">MATCH(B138,UNIQUE($B$2:$B$1010),0)-1 &amp; ", " &amp; COUNTIF($B$2:B138,B138)-1</f>
        <v>#NAME?</v>
      </c>
      <c r="B138" s="24" t="s">
        <v>922</v>
      </c>
      <c r="C138" s="24">
        <v>16</v>
      </c>
      <c r="D138" s="25" t="s">
        <v>498</v>
      </c>
      <c r="E138" s="25"/>
      <c r="F138" s="25" t="str">
        <f t="shared" si="0"/>
        <v>PIDGEY</v>
      </c>
      <c r="G138" s="25" t="s">
        <v>1027</v>
      </c>
      <c r="H138" s="25" t="s">
        <v>1028</v>
      </c>
      <c r="I138" s="25" t="s">
        <v>1029</v>
      </c>
      <c r="J138" s="25" t="s">
        <v>1030</v>
      </c>
      <c r="K138" s="25" t="s">
        <v>1028</v>
      </c>
      <c r="L138" s="25" t="s">
        <v>1028</v>
      </c>
      <c r="M138" s="25" t="s">
        <v>1028</v>
      </c>
      <c r="N138" s="25" t="s">
        <v>1031</v>
      </c>
      <c r="O138" s="25" t="s">
        <v>1032</v>
      </c>
      <c r="P138" s="25" t="s">
        <v>1032</v>
      </c>
      <c r="Q138" s="25" t="s">
        <v>1028</v>
      </c>
    </row>
    <row r="139" spans="1:17" ht="25.5">
      <c r="A139" s="24" t="e">
        <f ca="1">MATCH(B139,UNIQUE($B$2:$B$1010),0)-1 &amp; ", " &amp; COUNTIF($B$2:B139,B139)-1</f>
        <v>#NAME?</v>
      </c>
      <c r="B139" s="24" t="s">
        <v>922</v>
      </c>
      <c r="C139" s="24">
        <v>17</v>
      </c>
      <c r="D139" s="25" t="s">
        <v>498</v>
      </c>
      <c r="E139" s="25"/>
      <c r="F139" s="25" t="str">
        <f t="shared" si="0"/>
        <v>PIDGEOTTO</v>
      </c>
      <c r="G139" s="25" t="s">
        <v>1033</v>
      </c>
      <c r="H139" s="25" t="s">
        <v>1034</v>
      </c>
      <c r="I139" s="25" t="s">
        <v>1035</v>
      </c>
      <c r="J139" s="25" t="s">
        <v>1036</v>
      </c>
      <c r="K139" s="25" t="s">
        <v>1034</v>
      </c>
      <c r="L139" s="25" t="s">
        <v>1034</v>
      </c>
      <c r="M139" s="25" t="s">
        <v>1034</v>
      </c>
      <c r="N139" s="25" t="s">
        <v>1037</v>
      </c>
      <c r="O139" s="25" t="s">
        <v>1038</v>
      </c>
      <c r="P139" s="25" t="s">
        <v>1039</v>
      </c>
      <c r="Q139" s="25" t="s">
        <v>1034</v>
      </c>
    </row>
    <row r="140" spans="1:17" ht="25.5">
      <c r="A140" s="24" t="e">
        <f ca="1">MATCH(B140,UNIQUE($B$2:$B$1010),0)-1 &amp; ", " &amp; COUNTIF($B$2:B140,B140)-1</f>
        <v>#NAME?</v>
      </c>
      <c r="B140" s="24" t="s">
        <v>922</v>
      </c>
      <c r="C140" s="24">
        <v>18</v>
      </c>
      <c r="D140" s="25" t="s">
        <v>498</v>
      </c>
      <c r="E140" s="25"/>
      <c r="F140" s="25" t="str">
        <f t="shared" si="0"/>
        <v>PIDGEOT</v>
      </c>
      <c r="G140" s="25" t="s">
        <v>1040</v>
      </c>
      <c r="H140" s="25" t="s">
        <v>1041</v>
      </c>
      <c r="I140" s="25" t="s">
        <v>1042</v>
      </c>
      <c r="J140" s="25" t="s">
        <v>1043</v>
      </c>
      <c r="K140" s="25" t="s">
        <v>1041</v>
      </c>
      <c r="L140" s="25" t="s">
        <v>1041</v>
      </c>
      <c r="M140" s="25" t="s">
        <v>1041</v>
      </c>
      <c r="N140" s="25" t="s">
        <v>1044</v>
      </c>
      <c r="O140" s="25" t="s">
        <v>1045</v>
      </c>
      <c r="P140" s="25" t="s">
        <v>1046</v>
      </c>
      <c r="Q140" s="25" t="s">
        <v>1041</v>
      </c>
    </row>
    <row r="141" spans="1:17" ht="25.5">
      <c r="A141" s="24" t="e">
        <f ca="1">MATCH(B141,UNIQUE($B$2:$B$1010),0)-1 &amp; ", " &amp; COUNTIF($B$2:B141,B141)-1</f>
        <v>#NAME?</v>
      </c>
      <c r="B141" s="24" t="s">
        <v>922</v>
      </c>
      <c r="C141" s="24">
        <v>19</v>
      </c>
      <c r="D141" s="25" t="s">
        <v>498</v>
      </c>
      <c r="E141" s="25"/>
      <c r="F141" s="25" t="str">
        <f t="shared" si="0"/>
        <v>RATTATA</v>
      </c>
      <c r="G141" s="25" t="s">
        <v>1047</v>
      </c>
      <c r="H141" s="25" t="s">
        <v>1048</v>
      </c>
      <c r="I141" s="25" t="s">
        <v>1048</v>
      </c>
      <c r="J141" s="25" t="s">
        <v>1049</v>
      </c>
      <c r="K141" s="25" t="s">
        <v>1048</v>
      </c>
      <c r="L141" s="25" t="s">
        <v>1048</v>
      </c>
      <c r="M141" s="25" t="s">
        <v>1048</v>
      </c>
      <c r="N141" s="25" t="s">
        <v>1050</v>
      </c>
      <c r="O141" s="25" t="s">
        <v>1051</v>
      </c>
      <c r="P141" s="25" t="s">
        <v>1052</v>
      </c>
      <c r="Q141" s="25" t="s">
        <v>1048</v>
      </c>
    </row>
    <row r="142" spans="1:17" ht="25.5">
      <c r="A142" s="24" t="e">
        <f ca="1">MATCH(B142,UNIQUE($B$2:$B$1010),0)-1 &amp; ", " &amp; COUNTIF($B$2:B142,B142)-1</f>
        <v>#NAME?</v>
      </c>
      <c r="B142" s="24" t="s">
        <v>922</v>
      </c>
      <c r="C142" s="24">
        <v>20</v>
      </c>
      <c r="D142" s="25" t="s">
        <v>498</v>
      </c>
      <c r="E142" s="25"/>
      <c r="F142" s="25" t="str">
        <f t="shared" si="0"/>
        <v>RATICATE</v>
      </c>
      <c r="G142" s="25" t="s">
        <v>1053</v>
      </c>
      <c r="H142" s="25" t="s">
        <v>1054</v>
      </c>
      <c r="I142" s="25" t="s">
        <v>1055</v>
      </c>
      <c r="J142" s="25" t="s">
        <v>1056</v>
      </c>
      <c r="K142" s="25" t="s">
        <v>1054</v>
      </c>
      <c r="L142" s="25" t="s">
        <v>1054</v>
      </c>
      <c r="M142" s="25" t="s">
        <v>1054</v>
      </c>
      <c r="N142" s="25" t="s">
        <v>1057</v>
      </c>
      <c r="O142" s="25" t="s">
        <v>1058</v>
      </c>
      <c r="P142" s="25" t="s">
        <v>1059</v>
      </c>
      <c r="Q142" s="25" t="s">
        <v>1054</v>
      </c>
    </row>
    <row r="143" spans="1:17" ht="25.5">
      <c r="A143" s="24" t="e">
        <f ca="1">MATCH(B143,UNIQUE($B$2:$B$1010),0)-1 &amp; ", " &amp; COUNTIF($B$2:B143,B143)-1</f>
        <v>#NAME?</v>
      </c>
      <c r="B143" s="24" t="s">
        <v>922</v>
      </c>
      <c r="C143" s="24">
        <v>21</v>
      </c>
      <c r="D143" s="25" t="s">
        <v>498</v>
      </c>
      <c r="E143" s="25"/>
      <c r="F143" s="25" t="str">
        <f t="shared" si="0"/>
        <v>SPEAROW</v>
      </c>
      <c r="G143" s="25" t="s">
        <v>1060</v>
      </c>
      <c r="H143" s="25" t="s">
        <v>1061</v>
      </c>
      <c r="I143" s="25" t="s">
        <v>1062</v>
      </c>
      <c r="J143" s="25" t="s">
        <v>1063</v>
      </c>
      <c r="K143" s="25" t="s">
        <v>1061</v>
      </c>
      <c r="L143" s="25" t="s">
        <v>1061</v>
      </c>
      <c r="M143" s="25" t="s">
        <v>1061</v>
      </c>
      <c r="N143" s="25" t="s">
        <v>1064</v>
      </c>
      <c r="O143" s="25" t="s">
        <v>1065</v>
      </c>
      <c r="P143" s="25" t="s">
        <v>1065</v>
      </c>
      <c r="Q143" s="25" t="s">
        <v>1061</v>
      </c>
    </row>
    <row r="144" spans="1:17" ht="25.5">
      <c r="A144" s="24" t="e">
        <f ca="1">MATCH(B144,UNIQUE($B$2:$B$1010),0)-1 &amp; ", " &amp; COUNTIF($B$2:B144,B144)-1</f>
        <v>#NAME?</v>
      </c>
      <c r="B144" s="24" t="s">
        <v>922</v>
      </c>
      <c r="C144" s="24">
        <v>22</v>
      </c>
      <c r="D144" s="25" t="s">
        <v>498</v>
      </c>
      <c r="E144" s="25"/>
      <c r="F144" s="25" t="str">
        <f t="shared" si="0"/>
        <v>FEAROW</v>
      </c>
      <c r="G144" s="25" t="s">
        <v>1066</v>
      </c>
      <c r="H144" s="25" t="s">
        <v>1067</v>
      </c>
      <c r="I144" s="25" t="s">
        <v>1068</v>
      </c>
      <c r="J144" s="25" t="s">
        <v>1069</v>
      </c>
      <c r="K144" s="25" t="s">
        <v>1067</v>
      </c>
      <c r="L144" s="25" t="s">
        <v>1067</v>
      </c>
      <c r="M144" s="25" t="s">
        <v>1067</v>
      </c>
      <c r="N144" s="25" t="s">
        <v>1070</v>
      </c>
      <c r="O144" s="25" t="s">
        <v>1071</v>
      </c>
      <c r="P144" s="25" t="s">
        <v>1071</v>
      </c>
      <c r="Q144" s="25" t="s">
        <v>1067</v>
      </c>
    </row>
    <row r="145" spans="1:17" ht="25.5">
      <c r="A145" s="24" t="e">
        <f ca="1">MATCH(B145,UNIQUE($B$2:$B$1010),0)-1 &amp; ", " &amp; COUNTIF($B$2:B145,B145)-1</f>
        <v>#NAME?</v>
      </c>
      <c r="B145" s="24" t="s">
        <v>922</v>
      </c>
      <c r="C145" s="24">
        <v>23</v>
      </c>
      <c r="D145" s="25" t="s">
        <v>498</v>
      </c>
      <c r="E145" s="25"/>
      <c r="F145" s="25" t="str">
        <f t="shared" si="0"/>
        <v>EKANS</v>
      </c>
      <c r="G145" s="25" t="s">
        <v>1072</v>
      </c>
      <c r="H145" s="25" t="s">
        <v>1073</v>
      </c>
      <c r="I145" s="25" t="s">
        <v>1074</v>
      </c>
      <c r="J145" s="25" t="s">
        <v>1075</v>
      </c>
      <c r="K145" s="25" t="s">
        <v>1073</v>
      </c>
      <c r="L145" s="25" t="s">
        <v>1073</v>
      </c>
      <c r="M145" s="25" t="s">
        <v>1073</v>
      </c>
      <c r="N145" s="25" t="s">
        <v>1076</v>
      </c>
      <c r="O145" s="25" t="s">
        <v>1077</v>
      </c>
      <c r="P145" s="25" t="s">
        <v>1077</v>
      </c>
      <c r="Q145" s="25" t="s">
        <v>1073</v>
      </c>
    </row>
    <row r="146" spans="1:17" ht="25.5">
      <c r="A146" s="24" t="e">
        <f ca="1">MATCH(B146,UNIQUE($B$2:$B$1010),0)-1 &amp; ", " &amp; COUNTIF($B$2:B146,B146)-1</f>
        <v>#NAME?</v>
      </c>
      <c r="B146" s="24" t="s">
        <v>922</v>
      </c>
      <c r="C146" s="24">
        <v>24</v>
      </c>
      <c r="D146" s="25" t="s">
        <v>498</v>
      </c>
      <c r="E146" s="25"/>
      <c r="F146" s="25" t="str">
        <f t="shared" si="0"/>
        <v>ARBOK</v>
      </c>
      <c r="G146" s="25" t="s">
        <v>1078</v>
      </c>
      <c r="H146" s="25" t="s">
        <v>1079</v>
      </c>
      <c r="I146" s="25" t="s">
        <v>1079</v>
      </c>
      <c r="J146" s="25" t="s">
        <v>1079</v>
      </c>
      <c r="K146" s="25" t="s">
        <v>1079</v>
      </c>
      <c r="L146" s="25" t="s">
        <v>1079</v>
      </c>
      <c r="M146" s="25" t="s">
        <v>1079</v>
      </c>
      <c r="N146" s="25" t="s">
        <v>1080</v>
      </c>
      <c r="O146" s="25" t="s">
        <v>1081</v>
      </c>
      <c r="P146" s="25" t="s">
        <v>1081</v>
      </c>
      <c r="Q146" s="25" t="s">
        <v>1079</v>
      </c>
    </row>
    <row r="147" spans="1:17" ht="25.5">
      <c r="A147" s="24" t="e">
        <f ca="1">MATCH(B147,UNIQUE($B$2:$B$1010),0)-1 &amp; ", " &amp; COUNTIF($B$2:B147,B147)-1</f>
        <v>#NAME?</v>
      </c>
      <c r="B147" s="24" t="s">
        <v>922</v>
      </c>
      <c r="C147" s="24">
        <v>25</v>
      </c>
      <c r="D147" s="25" t="s">
        <v>498</v>
      </c>
      <c r="E147" s="25"/>
      <c r="F147" s="25" t="str">
        <f t="shared" si="0"/>
        <v>PIKACHU</v>
      </c>
      <c r="G147" s="25" t="s">
        <v>601</v>
      </c>
      <c r="H147" s="25" t="s">
        <v>1082</v>
      </c>
      <c r="I147" s="25" t="s">
        <v>1082</v>
      </c>
      <c r="J147" s="25" t="s">
        <v>1082</v>
      </c>
      <c r="K147" s="25" t="s">
        <v>1082</v>
      </c>
      <c r="L147" s="25" t="s">
        <v>1082</v>
      </c>
      <c r="M147" s="25" t="s">
        <v>1082</v>
      </c>
      <c r="N147" s="25" t="s">
        <v>607</v>
      </c>
      <c r="O147" s="25" t="s">
        <v>608</v>
      </c>
      <c r="P147" s="25" t="s">
        <v>608</v>
      </c>
      <c r="Q147" s="25" t="s">
        <v>1082</v>
      </c>
    </row>
    <row r="148" spans="1:17" ht="25.5">
      <c r="A148" s="24" t="e">
        <f ca="1">MATCH(B148,UNIQUE($B$2:$B$1010),0)-1 &amp; ", " &amp; COUNTIF($B$2:B148,B148)-1</f>
        <v>#NAME?</v>
      </c>
      <c r="B148" s="24" t="s">
        <v>922</v>
      </c>
      <c r="C148" s="24">
        <v>26</v>
      </c>
      <c r="D148" s="25" t="s">
        <v>498</v>
      </c>
      <c r="E148" s="25"/>
      <c r="F148" s="25" t="str">
        <f t="shared" si="0"/>
        <v>RAICHU</v>
      </c>
      <c r="G148" s="25" t="s">
        <v>1083</v>
      </c>
      <c r="H148" s="25" t="s">
        <v>1084</v>
      </c>
      <c r="I148" s="25" t="s">
        <v>1084</v>
      </c>
      <c r="J148" s="25" t="s">
        <v>1084</v>
      </c>
      <c r="K148" s="25" t="s">
        <v>1084</v>
      </c>
      <c r="L148" s="25" t="s">
        <v>1084</v>
      </c>
      <c r="M148" s="25" t="s">
        <v>1084</v>
      </c>
      <c r="N148" s="25" t="s">
        <v>1085</v>
      </c>
      <c r="O148" s="25" t="s">
        <v>1086</v>
      </c>
      <c r="P148" s="25" t="s">
        <v>1086</v>
      </c>
      <c r="Q148" s="25" t="s">
        <v>1084</v>
      </c>
    </row>
    <row r="149" spans="1:17" ht="25.5">
      <c r="A149" s="24" t="e">
        <f ca="1">MATCH(B149,UNIQUE($B$2:$B$1010),0)-1 &amp; ", " &amp; COUNTIF($B$2:B149,B149)-1</f>
        <v>#NAME?</v>
      </c>
      <c r="B149" s="24" t="s">
        <v>922</v>
      </c>
      <c r="C149" s="24">
        <v>27</v>
      </c>
      <c r="D149" s="25" t="s">
        <v>498</v>
      </c>
      <c r="E149" s="25"/>
      <c r="F149" s="25" t="str">
        <f t="shared" si="0"/>
        <v>SANDSHREW</v>
      </c>
      <c r="G149" s="25" t="s">
        <v>1087</v>
      </c>
      <c r="H149" s="25" t="s">
        <v>1088</v>
      </c>
      <c r="I149" s="25" t="s">
        <v>1089</v>
      </c>
      <c r="J149" s="25" t="s">
        <v>1090</v>
      </c>
      <c r="K149" s="25" t="s">
        <v>1088</v>
      </c>
      <c r="L149" s="25" t="s">
        <v>1088</v>
      </c>
      <c r="M149" s="25" t="s">
        <v>1088</v>
      </c>
      <c r="N149" s="25" t="s">
        <v>1091</v>
      </c>
      <c r="O149" s="25" t="s">
        <v>1092</v>
      </c>
      <c r="P149" s="25" t="s">
        <v>1092</v>
      </c>
      <c r="Q149" s="25" t="s">
        <v>1088</v>
      </c>
    </row>
    <row r="150" spans="1:17" ht="25.5">
      <c r="A150" s="24" t="e">
        <f ca="1">MATCH(B150,UNIQUE($B$2:$B$1010),0)-1 &amp; ", " &amp; COUNTIF($B$2:B150,B150)-1</f>
        <v>#NAME?</v>
      </c>
      <c r="B150" s="24" t="s">
        <v>922</v>
      </c>
      <c r="C150" s="24">
        <v>28</v>
      </c>
      <c r="D150" s="25" t="s">
        <v>498</v>
      </c>
      <c r="E150" s="25"/>
      <c r="F150" s="25" t="str">
        <f t="shared" si="0"/>
        <v>SANDSLASH</v>
      </c>
      <c r="G150" s="25" t="s">
        <v>1093</v>
      </c>
      <c r="H150" s="25" t="s">
        <v>1094</v>
      </c>
      <c r="I150" s="25" t="s">
        <v>1095</v>
      </c>
      <c r="J150" s="25" t="s">
        <v>1096</v>
      </c>
      <c r="K150" s="25" t="s">
        <v>1094</v>
      </c>
      <c r="L150" s="25" t="s">
        <v>1094</v>
      </c>
      <c r="M150" s="25" t="s">
        <v>1094</v>
      </c>
      <c r="N150" s="25" t="s">
        <v>1097</v>
      </c>
      <c r="O150" s="25" t="s">
        <v>1098</v>
      </c>
      <c r="P150" s="25" t="s">
        <v>1098</v>
      </c>
      <c r="Q150" s="25" t="s">
        <v>1094</v>
      </c>
    </row>
    <row r="151" spans="1:17" ht="25.5">
      <c r="A151" s="24" t="e">
        <f ca="1">MATCH(B151,UNIQUE($B$2:$B$1010),0)-1 &amp; ", " &amp; COUNTIF($B$2:B151,B151)-1</f>
        <v>#NAME?</v>
      </c>
      <c r="B151" s="24" t="s">
        <v>922</v>
      </c>
      <c r="C151" s="24">
        <v>29</v>
      </c>
      <c r="D151" s="25" t="s">
        <v>498</v>
      </c>
      <c r="E151" s="25"/>
      <c r="F151" s="25" t="str">
        <f t="shared" si="0"/>
        <v>NIDORAN♀</v>
      </c>
      <c r="G151" s="25" t="s">
        <v>1099</v>
      </c>
      <c r="H151" s="25" t="s">
        <v>1100</v>
      </c>
      <c r="I151" s="25" t="s">
        <v>1100</v>
      </c>
      <c r="J151" s="25" t="s">
        <v>1100</v>
      </c>
      <c r="K151" s="25" t="s">
        <v>1100</v>
      </c>
      <c r="L151" s="25" t="s">
        <v>1100</v>
      </c>
      <c r="M151" s="25" t="s">
        <v>1100</v>
      </c>
      <c r="N151" s="25" t="s">
        <v>1101</v>
      </c>
      <c r="O151" s="25" t="s">
        <v>1102</v>
      </c>
      <c r="P151" s="25" t="s">
        <v>1103</v>
      </c>
      <c r="Q151" s="25" t="s">
        <v>1100</v>
      </c>
    </row>
    <row r="152" spans="1:17" ht="25.5">
      <c r="A152" s="24" t="e">
        <f ca="1">MATCH(B152,UNIQUE($B$2:$B$1010),0)-1 &amp; ", " &amp; COUNTIF($B$2:B152,B152)-1</f>
        <v>#NAME?</v>
      </c>
      <c r="B152" s="24" t="s">
        <v>922</v>
      </c>
      <c r="C152" s="24">
        <v>30</v>
      </c>
      <c r="D152" s="25" t="s">
        <v>498</v>
      </c>
      <c r="E152" s="25"/>
      <c r="F152" s="25" t="str">
        <f t="shared" si="0"/>
        <v>NIDORINA</v>
      </c>
      <c r="G152" s="25" t="s">
        <v>1104</v>
      </c>
      <c r="H152" s="25" t="s">
        <v>1105</v>
      </c>
      <c r="I152" s="25" t="s">
        <v>1105</v>
      </c>
      <c r="J152" s="25" t="s">
        <v>1105</v>
      </c>
      <c r="K152" s="25" t="s">
        <v>1105</v>
      </c>
      <c r="L152" s="25" t="s">
        <v>1105</v>
      </c>
      <c r="M152" s="25" t="s">
        <v>1105</v>
      </c>
      <c r="N152" s="25" t="s">
        <v>1106</v>
      </c>
      <c r="O152" s="25" t="s">
        <v>1107</v>
      </c>
      <c r="P152" s="25" t="s">
        <v>1107</v>
      </c>
      <c r="Q152" s="25" t="s">
        <v>1105</v>
      </c>
    </row>
    <row r="153" spans="1:17" ht="25.5">
      <c r="A153" s="24" t="e">
        <f ca="1">MATCH(B153,UNIQUE($B$2:$B$1010),0)-1 &amp; ", " &amp; COUNTIF($B$2:B153,B153)-1</f>
        <v>#NAME?</v>
      </c>
      <c r="B153" s="24" t="s">
        <v>922</v>
      </c>
      <c r="C153" s="24">
        <v>31</v>
      </c>
      <c r="D153" s="25" t="s">
        <v>498</v>
      </c>
      <c r="E153" s="25"/>
      <c r="F153" s="25" t="str">
        <f t="shared" si="0"/>
        <v>NIDOQUEEN</v>
      </c>
      <c r="G153" s="25" t="s">
        <v>1108</v>
      </c>
      <c r="H153" s="25" t="s">
        <v>1109</v>
      </c>
      <c r="I153" s="25" t="s">
        <v>1109</v>
      </c>
      <c r="J153" s="25" t="s">
        <v>1109</v>
      </c>
      <c r="K153" s="25" t="s">
        <v>1109</v>
      </c>
      <c r="L153" s="25" t="s">
        <v>1109</v>
      </c>
      <c r="M153" s="25" t="s">
        <v>1109</v>
      </c>
      <c r="N153" s="25" t="s">
        <v>1110</v>
      </c>
      <c r="O153" s="25" t="s">
        <v>1111</v>
      </c>
      <c r="P153" s="25" t="s">
        <v>1111</v>
      </c>
      <c r="Q153" s="25" t="s">
        <v>1109</v>
      </c>
    </row>
    <row r="154" spans="1:17" ht="25.5">
      <c r="A154" s="24" t="e">
        <f ca="1">MATCH(B154,UNIQUE($B$2:$B$1010),0)-1 &amp; ", " &amp; COUNTIF($B$2:B154,B154)-1</f>
        <v>#NAME?</v>
      </c>
      <c r="B154" s="24" t="s">
        <v>922</v>
      </c>
      <c r="C154" s="24">
        <v>32</v>
      </c>
      <c r="D154" s="25" t="s">
        <v>498</v>
      </c>
      <c r="E154" s="25"/>
      <c r="F154" s="25" t="str">
        <f t="shared" si="0"/>
        <v>NIDORAN♂</v>
      </c>
      <c r="G154" s="25" t="s">
        <v>1112</v>
      </c>
      <c r="H154" s="25" t="s">
        <v>1113</v>
      </c>
      <c r="I154" s="25" t="s">
        <v>1113</v>
      </c>
      <c r="J154" s="25" t="s">
        <v>1113</v>
      </c>
      <c r="K154" s="25" t="s">
        <v>1113</v>
      </c>
      <c r="L154" s="25" t="s">
        <v>1113</v>
      </c>
      <c r="M154" s="25" t="s">
        <v>1113</v>
      </c>
      <c r="N154" s="25" t="s">
        <v>1114</v>
      </c>
      <c r="O154" s="25" t="s">
        <v>1115</v>
      </c>
      <c r="P154" s="25" t="s">
        <v>1115</v>
      </c>
      <c r="Q154" s="25" t="s">
        <v>1113</v>
      </c>
    </row>
    <row r="155" spans="1:17" ht="25.5">
      <c r="A155" s="24" t="e">
        <f ca="1">MATCH(B155,UNIQUE($B$2:$B$1010),0)-1 &amp; ", " &amp; COUNTIF($B$2:B155,B155)-1</f>
        <v>#NAME?</v>
      </c>
      <c r="B155" s="24" t="s">
        <v>922</v>
      </c>
      <c r="C155" s="24">
        <v>33</v>
      </c>
      <c r="D155" s="25" t="s">
        <v>498</v>
      </c>
      <c r="E155" s="25"/>
      <c r="F155" s="25" t="str">
        <f t="shared" si="0"/>
        <v>NIDORINO</v>
      </c>
      <c r="G155" s="25" t="s">
        <v>1116</v>
      </c>
      <c r="H155" s="25" t="s">
        <v>1117</v>
      </c>
      <c r="I155" s="25" t="s">
        <v>1117</v>
      </c>
      <c r="J155" s="25" t="s">
        <v>1117</v>
      </c>
      <c r="K155" s="25" t="s">
        <v>1117</v>
      </c>
      <c r="L155" s="25" t="s">
        <v>1117</v>
      </c>
      <c r="M155" s="25" t="s">
        <v>1117</v>
      </c>
      <c r="N155" s="25" t="s">
        <v>1118</v>
      </c>
      <c r="O155" s="25" t="s">
        <v>1119</v>
      </c>
      <c r="P155" s="25" t="s">
        <v>1120</v>
      </c>
      <c r="Q155" s="25" t="s">
        <v>1117</v>
      </c>
    </row>
    <row r="156" spans="1:17" ht="25.5">
      <c r="A156" s="24" t="e">
        <f ca="1">MATCH(B156,UNIQUE($B$2:$B$1010),0)-1 &amp; ", " &amp; COUNTIF($B$2:B156,B156)-1</f>
        <v>#NAME?</v>
      </c>
      <c r="B156" s="24" t="s">
        <v>922</v>
      </c>
      <c r="C156" s="24">
        <v>34</v>
      </c>
      <c r="D156" s="25" t="s">
        <v>498</v>
      </c>
      <c r="E156" s="25"/>
      <c r="F156" s="25" t="str">
        <f t="shared" si="0"/>
        <v>NIDOKING</v>
      </c>
      <c r="G156" s="25" t="s">
        <v>1121</v>
      </c>
      <c r="H156" s="25" t="s">
        <v>1122</v>
      </c>
      <c r="I156" s="25" t="s">
        <v>1122</v>
      </c>
      <c r="J156" s="25" t="s">
        <v>1122</v>
      </c>
      <c r="K156" s="25" t="s">
        <v>1122</v>
      </c>
      <c r="L156" s="25" t="s">
        <v>1122</v>
      </c>
      <c r="M156" s="25" t="s">
        <v>1122</v>
      </c>
      <c r="N156" s="25" t="s">
        <v>1123</v>
      </c>
      <c r="O156" s="25" t="s">
        <v>1124</v>
      </c>
      <c r="P156" s="25" t="s">
        <v>1124</v>
      </c>
      <c r="Q156" s="25" t="s">
        <v>1122</v>
      </c>
    </row>
    <row r="157" spans="1:17" ht="25.5">
      <c r="A157" s="24" t="e">
        <f ca="1">MATCH(B157,UNIQUE($B$2:$B$1010),0)-1 &amp; ", " &amp; COUNTIF($B$2:B157,B157)-1</f>
        <v>#NAME?</v>
      </c>
      <c r="B157" s="24" t="s">
        <v>922</v>
      </c>
      <c r="C157" s="24">
        <v>35</v>
      </c>
      <c r="D157" s="25" t="s">
        <v>498</v>
      </c>
      <c r="E157" s="25"/>
      <c r="F157" s="25" t="str">
        <f t="shared" si="0"/>
        <v>CLEFAIRY</v>
      </c>
      <c r="G157" s="25" t="s">
        <v>1125</v>
      </c>
      <c r="H157" s="25" t="s">
        <v>1126</v>
      </c>
      <c r="I157" s="25" t="s">
        <v>1127</v>
      </c>
      <c r="J157" s="25" t="s">
        <v>1128</v>
      </c>
      <c r="K157" s="25" t="s">
        <v>1126</v>
      </c>
      <c r="L157" s="25" t="s">
        <v>1126</v>
      </c>
      <c r="M157" s="25" t="s">
        <v>1126</v>
      </c>
      <c r="N157" s="25" t="s">
        <v>1129</v>
      </c>
      <c r="O157" s="25" t="s">
        <v>1130</v>
      </c>
      <c r="P157" s="25" t="s">
        <v>1130</v>
      </c>
      <c r="Q157" s="25" t="s">
        <v>1126</v>
      </c>
    </row>
    <row r="158" spans="1:17" ht="25.5">
      <c r="A158" s="24" t="e">
        <f ca="1">MATCH(B158,UNIQUE($B$2:$B$1010),0)-1 &amp; ", " &amp; COUNTIF($B$2:B158,B158)-1</f>
        <v>#NAME?</v>
      </c>
      <c r="B158" s="24" t="s">
        <v>922</v>
      </c>
      <c r="C158" s="24">
        <v>36</v>
      </c>
      <c r="D158" s="25" t="s">
        <v>498</v>
      </c>
      <c r="E158" s="25"/>
      <c r="F158" s="25" t="str">
        <f t="shared" si="0"/>
        <v>CLEFABLE</v>
      </c>
      <c r="G158" s="25" t="s">
        <v>1131</v>
      </c>
      <c r="H158" s="25" t="s">
        <v>1132</v>
      </c>
      <c r="I158" s="25" t="s">
        <v>1133</v>
      </c>
      <c r="J158" s="25" t="s">
        <v>1134</v>
      </c>
      <c r="K158" s="25" t="s">
        <v>1132</v>
      </c>
      <c r="L158" s="25" t="s">
        <v>1132</v>
      </c>
      <c r="M158" s="25" t="s">
        <v>1132</v>
      </c>
      <c r="N158" s="25" t="s">
        <v>1135</v>
      </c>
      <c r="O158" s="25" t="s">
        <v>1136</v>
      </c>
      <c r="P158" s="25" t="s">
        <v>1136</v>
      </c>
      <c r="Q158" s="25" t="s">
        <v>1132</v>
      </c>
    </row>
    <row r="159" spans="1:17" ht="25.5">
      <c r="A159" s="24" t="e">
        <f ca="1">MATCH(B159,UNIQUE($B$2:$B$1010),0)-1 &amp; ", " &amp; COUNTIF($B$2:B159,B159)-1</f>
        <v>#NAME?</v>
      </c>
      <c r="B159" s="24" t="s">
        <v>922</v>
      </c>
      <c r="C159" s="24">
        <v>37</v>
      </c>
      <c r="D159" s="25" t="s">
        <v>498</v>
      </c>
      <c r="E159" s="25"/>
      <c r="F159" s="25" t="str">
        <f t="shared" si="0"/>
        <v>VULPIX</v>
      </c>
      <c r="G159" s="25" t="s">
        <v>1137</v>
      </c>
      <c r="H159" s="25" t="s">
        <v>1138</v>
      </c>
      <c r="I159" s="25" t="s">
        <v>1139</v>
      </c>
      <c r="J159" s="25" t="s">
        <v>1138</v>
      </c>
      <c r="K159" s="25" t="s">
        <v>1138</v>
      </c>
      <c r="L159" s="25" t="s">
        <v>1138</v>
      </c>
      <c r="M159" s="25" t="s">
        <v>1138</v>
      </c>
      <c r="N159" s="25" t="s">
        <v>1140</v>
      </c>
      <c r="O159" s="25" t="s">
        <v>1141</v>
      </c>
      <c r="P159" s="25" t="s">
        <v>1141</v>
      </c>
      <c r="Q159" s="25" t="s">
        <v>1138</v>
      </c>
    </row>
    <row r="160" spans="1:17" ht="25.5">
      <c r="A160" s="24" t="e">
        <f ca="1">MATCH(B160,UNIQUE($B$2:$B$1010),0)-1 &amp; ", " &amp; COUNTIF($B$2:B160,B160)-1</f>
        <v>#NAME?</v>
      </c>
      <c r="B160" s="24" t="s">
        <v>922</v>
      </c>
      <c r="C160" s="24">
        <v>38</v>
      </c>
      <c r="D160" s="25" t="s">
        <v>498</v>
      </c>
      <c r="E160" s="25"/>
      <c r="F160" s="25" t="str">
        <f t="shared" si="0"/>
        <v>NINETALES</v>
      </c>
      <c r="G160" s="25" t="s">
        <v>1142</v>
      </c>
      <c r="H160" s="25" t="s">
        <v>1143</v>
      </c>
      <c r="I160" s="25" t="s">
        <v>1144</v>
      </c>
      <c r="J160" s="25" t="s">
        <v>1145</v>
      </c>
      <c r="K160" s="25" t="s">
        <v>1143</v>
      </c>
      <c r="L160" s="25" t="s">
        <v>1143</v>
      </c>
      <c r="M160" s="25" t="s">
        <v>1143</v>
      </c>
      <c r="N160" s="25" t="s">
        <v>1146</v>
      </c>
      <c r="O160" s="25" t="s">
        <v>1147</v>
      </c>
      <c r="P160" s="25" t="s">
        <v>1147</v>
      </c>
      <c r="Q160" s="25" t="s">
        <v>1143</v>
      </c>
    </row>
    <row r="161" spans="1:17" ht="25.5">
      <c r="A161" s="24" t="e">
        <f ca="1">MATCH(B161,UNIQUE($B$2:$B$1010),0)-1 &amp; ", " &amp; COUNTIF($B$2:B161,B161)-1</f>
        <v>#NAME?</v>
      </c>
      <c r="B161" s="24" t="s">
        <v>922</v>
      </c>
      <c r="C161" s="24">
        <v>39</v>
      </c>
      <c r="D161" s="25" t="s">
        <v>498</v>
      </c>
      <c r="E161" s="25"/>
      <c r="F161" s="25" t="str">
        <f t="shared" si="0"/>
        <v>JIGGLYPUFF</v>
      </c>
      <c r="G161" s="25" t="s">
        <v>1148</v>
      </c>
      <c r="H161" s="25" t="s">
        <v>1149</v>
      </c>
      <c r="I161" s="25" t="s">
        <v>1150</v>
      </c>
      <c r="J161" s="25" t="s">
        <v>1151</v>
      </c>
      <c r="K161" s="25" t="s">
        <v>1149</v>
      </c>
      <c r="L161" s="25" t="s">
        <v>1149</v>
      </c>
      <c r="M161" s="25" t="s">
        <v>1149</v>
      </c>
      <c r="N161" s="25" t="s">
        <v>1152</v>
      </c>
      <c r="O161" s="25" t="s">
        <v>1153</v>
      </c>
      <c r="P161" s="25" t="s">
        <v>1153</v>
      </c>
      <c r="Q161" s="25" t="s">
        <v>1149</v>
      </c>
    </row>
    <row r="162" spans="1:17" ht="25.5">
      <c r="A162" s="24" t="e">
        <f ca="1">MATCH(B162,UNIQUE($B$2:$B$1010),0)-1 &amp; ", " &amp; COUNTIF($B$2:B162,B162)-1</f>
        <v>#NAME?</v>
      </c>
      <c r="B162" s="24" t="s">
        <v>922</v>
      </c>
      <c r="C162" s="24">
        <v>40</v>
      </c>
      <c r="D162" s="25" t="s">
        <v>498</v>
      </c>
      <c r="E162" s="25"/>
      <c r="F162" s="25" t="str">
        <f t="shared" si="0"/>
        <v>WIGGLYTUFF</v>
      </c>
      <c r="G162" s="25" t="s">
        <v>1154</v>
      </c>
      <c r="H162" s="25" t="s">
        <v>1155</v>
      </c>
      <c r="I162" s="25" t="s">
        <v>1156</v>
      </c>
      <c r="J162" s="25" t="s">
        <v>1157</v>
      </c>
      <c r="K162" s="25" t="s">
        <v>1155</v>
      </c>
      <c r="L162" s="25" t="s">
        <v>1155</v>
      </c>
      <c r="M162" s="25" t="s">
        <v>1155</v>
      </c>
      <c r="N162" s="25" t="s">
        <v>1158</v>
      </c>
      <c r="O162" s="25" t="s">
        <v>1159</v>
      </c>
      <c r="P162" s="25" t="s">
        <v>1159</v>
      </c>
      <c r="Q162" s="25" t="s">
        <v>1155</v>
      </c>
    </row>
    <row r="163" spans="1:17" ht="25.5">
      <c r="A163" s="24" t="e">
        <f ca="1">MATCH(B163,UNIQUE($B$2:$B$1010),0)-1 &amp; ", " &amp; COUNTIF($B$2:B163,B163)-1</f>
        <v>#NAME?</v>
      </c>
      <c r="B163" s="24" t="s">
        <v>922</v>
      </c>
      <c r="C163" s="24">
        <v>41</v>
      </c>
      <c r="D163" s="25" t="s">
        <v>498</v>
      </c>
      <c r="E163" s="25"/>
      <c r="F163" s="25" t="str">
        <f t="shared" si="0"/>
        <v>ZUBAT</v>
      </c>
      <c r="G163" s="25" t="s">
        <v>1160</v>
      </c>
      <c r="H163" s="25" t="s">
        <v>1161</v>
      </c>
      <c r="I163" s="25" t="s">
        <v>1162</v>
      </c>
      <c r="J163" s="25" t="s">
        <v>1161</v>
      </c>
      <c r="K163" s="25" t="s">
        <v>1161</v>
      </c>
      <c r="L163" s="25" t="s">
        <v>1161</v>
      </c>
      <c r="M163" s="25" t="s">
        <v>1161</v>
      </c>
      <c r="N163" s="25" t="s">
        <v>1163</v>
      </c>
      <c r="O163" s="25" t="s">
        <v>1164</v>
      </c>
      <c r="P163" s="25" t="s">
        <v>1164</v>
      </c>
      <c r="Q163" s="25" t="s">
        <v>1161</v>
      </c>
    </row>
    <row r="164" spans="1:17" ht="25.5">
      <c r="A164" s="24" t="e">
        <f ca="1">MATCH(B164,UNIQUE($B$2:$B$1010),0)-1 &amp; ", " &amp; COUNTIF($B$2:B164,B164)-1</f>
        <v>#NAME?</v>
      </c>
      <c r="B164" s="24" t="s">
        <v>922</v>
      </c>
      <c r="C164" s="24">
        <v>42</v>
      </c>
      <c r="D164" s="25" t="s">
        <v>498</v>
      </c>
      <c r="E164" s="25"/>
      <c r="F164" s="25" t="str">
        <f t="shared" si="0"/>
        <v>GOLBAT</v>
      </c>
      <c r="G164" s="25" t="s">
        <v>1165</v>
      </c>
      <c r="H164" s="25" t="s">
        <v>1166</v>
      </c>
      <c r="I164" s="25" t="s">
        <v>1167</v>
      </c>
      <c r="J164" s="25" t="s">
        <v>1166</v>
      </c>
      <c r="K164" s="25" t="s">
        <v>1166</v>
      </c>
      <c r="L164" s="25" t="s">
        <v>1166</v>
      </c>
      <c r="M164" s="25" t="s">
        <v>1166</v>
      </c>
      <c r="N164" s="25" t="s">
        <v>1168</v>
      </c>
      <c r="O164" s="25" t="s">
        <v>1169</v>
      </c>
      <c r="P164" s="25" t="s">
        <v>1169</v>
      </c>
      <c r="Q164" s="25" t="s">
        <v>1166</v>
      </c>
    </row>
    <row r="165" spans="1:17" ht="25.5">
      <c r="A165" s="24" t="e">
        <f ca="1">MATCH(B165,UNIQUE($B$2:$B$1010),0)-1 &amp; ", " &amp; COUNTIF($B$2:B165,B165)-1</f>
        <v>#NAME?</v>
      </c>
      <c r="B165" s="24" t="s">
        <v>922</v>
      </c>
      <c r="C165" s="24">
        <v>43</v>
      </c>
      <c r="D165" s="25" t="s">
        <v>498</v>
      </c>
      <c r="E165" s="25"/>
      <c r="F165" s="25" t="str">
        <f t="shared" si="0"/>
        <v>ODDISH</v>
      </c>
      <c r="G165" s="25" t="s">
        <v>1170</v>
      </c>
      <c r="H165" s="25" t="s">
        <v>1171</v>
      </c>
      <c r="I165" s="25" t="s">
        <v>1172</v>
      </c>
      <c r="J165" s="25" t="s">
        <v>1173</v>
      </c>
      <c r="K165" s="25" t="s">
        <v>1171</v>
      </c>
      <c r="L165" s="25" t="s">
        <v>1171</v>
      </c>
      <c r="M165" s="25" t="s">
        <v>1171</v>
      </c>
      <c r="N165" s="25" t="s">
        <v>1174</v>
      </c>
      <c r="O165" s="25" t="s">
        <v>1175</v>
      </c>
      <c r="P165" s="25" t="s">
        <v>1175</v>
      </c>
      <c r="Q165" s="25" t="s">
        <v>1171</v>
      </c>
    </row>
    <row r="166" spans="1:17" ht="25.5">
      <c r="A166" s="24" t="e">
        <f ca="1">MATCH(B166,UNIQUE($B$2:$B$1010),0)-1 &amp; ", " &amp; COUNTIF($B$2:B166,B166)-1</f>
        <v>#NAME?</v>
      </c>
      <c r="B166" s="24" t="s">
        <v>922</v>
      </c>
      <c r="C166" s="24">
        <v>44</v>
      </c>
      <c r="D166" s="25" t="s">
        <v>498</v>
      </c>
      <c r="E166" s="25"/>
      <c r="F166" s="25" t="str">
        <f t="shared" si="0"/>
        <v>GLOOM</v>
      </c>
      <c r="G166" s="25" t="s">
        <v>1176</v>
      </c>
      <c r="H166" s="25" t="s">
        <v>1177</v>
      </c>
      <c r="I166" s="25" t="s">
        <v>1178</v>
      </c>
      <c r="J166" s="25" t="s">
        <v>1179</v>
      </c>
      <c r="K166" s="25" t="s">
        <v>1177</v>
      </c>
      <c r="L166" s="25" t="s">
        <v>1177</v>
      </c>
      <c r="M166" s="25" t="s">
        <v>1177</v>
      </c>
      <c r="N166" s="25" t="s">
        <v>1180</v>
      </c>
      <c r="O166" s="25" t="s">
        <v>1181</v>
      </c>
      <c r="P166" s="25" t="s">
        <v>1181</v>
      </c>
      <c r="Q166" s="25" t="s">
        <v>1177</v>
      </c>
    </row>
    <row r="167" spans="1:17" ht="25.5">
      <c r="A167" s="24" t="e">
        <f ca="1">MATCH(B167,UNIQUE($B$2:$B$1010),0)-1 &amp; ", " &amp; COUNTIF($B$2:B167,B167)-1</f>
        <v>#NAME?</v>
      </c>
      <c r="B167" s="24" t="s">
        <v>922</v>
      </c>
      <c r="C167" s="24">
        <v>45</v>
      </c>
      <c r="D167" s="25" t="s">
        <v>498</v>
      </c>
      <c r="E167" s="25"/>
      <c r="F167" s="25" t="str">
        <f t="shared" si="0"/>
        <v>VILEPLUME</v>
      </c>
      <c r="G167" s="25" t="s">
        <v>1182</v>
      </c>
      <c r="H167" s="25" t="s">
        <v>1183</v>
      </c>
      <c r="I167" s="25" t="s">
        <v>1184</v>
      </c>
      <c r="J167" s="25" t="s">
        <v>1185</v>
      </c>
      <c r="K167" s="25" t="s">
        <v>1183</v>
      </c>
      <c r="L167" s="25" t="s">
        <v>1183</v>
      </c>
      <c r="M167" s="25" t="s">
        <v>1183</v>
      </c>
      <c r="N167" s="25" t="s">
        <v>1186</v>
      </c>
      <c r="O167" s="25" t="s">
        <v>1187</v>
      </c>
      <c r="P167" s="25" t="s">
        <v>1187</v>
      </c>
      <c r="Q167" s="25" t="s">
        <v>1183</v>
      </c>
    </row>
    <row r="168" spans="1:17" ht="25.5">
      <c r="A168" s="24" t="e">
        <f ca="1">MATCH(B168,UNIQUE($B$2:$B$1010),0)-1 &amp; ", " &amp; COUNTIF($B$2:B168,B168)-1</f>
        <v>#NAME?</v>
      </c>
      <c r="B168" s="24" t="s">
        <v>922</v>
      </c>
      <c r="C168" s="24">
        <v>46</v>
      </c>
      <c r="D168" s="25" t="s">
        <v>498</v>
      </c>
      <c r="E168" s="25"/>
      <c r="F168" s="25" t="str">
        <f t="shared" si="0"/>
        <v>PARAS</v>
      </c>
      <c r="G168" s="25" t="s">
        <v>1188</v>
      </c>
      <c r="H168" s="25" t="s">
        <v>1189</v>
      </c>
      <c r="I168" s="25" t="s">
        <v>1189</v>
      </c>
      <c r="J168" s="25" t="s">
        <v>1189</v>
      </c>
      <c r="K168" s="25" t="s">
        <v>1189</v>
      </c>
      <c r="L168" s="25" t="s">
        <v>1189</v>
      </c>
      <c r="M168" s="25" t="s">
        <v>1189</v>
      </c>
      <c r="N168" s="25" t="s">
        <v>1190</v>
      </c>
      <c r="O168" s="25" t="s">
        <v>1191</v>
      </c>
      <c r="P168" s="25" t="s">
        <v>1191</v>
      </c>
      <c r="Q168" s="25" t="s">
        <v>1189</v>
      </c>
    </row>
    <row r="169" spans="1:17" ht="25.5">
      <c r="A169" s="24" t="e">
        <f ca="1">MATCH(B169,UNIQUE($B$2:$B$1010),0)-1 &amp; ", " &amp; COUNTIF($B$2:B169,B169)-1</f>
        <v>#NAME?</v>
      </c>
      <c r="B169" s="24" t="s">
        <v>922</v>
      </c>
      <c r="C169" s="24">
        <v>47</v>
      </c>
      <c r="D169" s="25" t="s">
        <v>498</v>
      </c>
      <c r="E169" s="25"/>
      <c r="F169" s="25" t="str">
        <f t="shared" si="0"/>
        <v>PARASECT</v>
      </c>
      <c r="G169" s="25" t="s">
        <v>1192</v>
      </c>
      <c r="H169" s="25" t="s">
        <v>1193</v>
      </c>
      <c r="I169" s="25" t="s">
        <v>1193</v>
      </c>
      <c r="J169" s="25" t="s">
        <v>1194</v>
      </c>
      <c r="K169" s="25" t="s">
        <v>1193</v>
      </c>
      <c r="L169" s="25" t="s">
        <v>1193</v>
      </c>
      <c r="M169" s="25" t="s">
        <v>1193</v>
      </c>
      <c r="N169" s="25" t="s">
        <v>1195</v>
      </c>
      <c r="O169" s="25" t="s">
        <v>1196</v>
      </c>
      <c r="P169" s="25" t="s">
        <v>1196</v>
      </c>
      <c r="Q169" s="25" t="s">
        <v>1193</v>
      </c>
    </row>
    <row r="170" spans="1:17" ht="25.5">
      <c r="A170" s="24" t="e">
        <f ca="1">MATCH(B170,UNIQUE($B$2:$B$1010),0)-1 &amp; ", " &amp; COUNTIF($B$2:B170,B170)-1</f>
        <v>#NAME?</v>
      </c>
      <c r="B170" s="24" t="s">
        <v>922</v>
      </c>
      <c r="C170" s="24">
        <v>48</v>
      </c>
      <c r="D170" s="25" t="s">
        <v>498</v>
      </c>
      <c r="E170" s="25"/>
      <c r="F170" s="25" t="str">
        <f t="shared" si="0"/>
        <v>VENONAT</v>
      </c>
      <c r="G170" s="25" t="s">
        <v>1197</v>
      </c>
      <c r="H170" s="25" t="s">
        <v>1198</v>
      </c>
      <c r="I170" s="25" t="s">
        <v>1199</v>
      </c>
      <c r="J170" s="25" t="s">
        <v>1200</v>
      </c>
      <c r="K170" s="25" t="s">
        <v>1198</v>
      </c>
      <c r="L170" s="25" t="s">
        <v>1198</v>
      </c>
      <c r="M170" s="25" t="s">
        <v>1198</v>
      </c>
      <c r="N170" s="25" t="s">
        <v>1201</v>
      </c>
      <c r="O170" s="25" t="s">
        <v>1202</v>
      </c>
      <c r="P170" s="25" t="s">
        <v>1202</v>
      </c>
      <c r="Q170" s="25" t="s">
        <v>1198</v>
      </c>
    </row>
    <row r="171" spans="1:17" ht="25.5">
      <c r="A171" s="24" t="e">
        <f ca="1">MATCH(B171,UNIQUE($B$2:$B$1010),0)-1 &amp; ", " &amp; COUNTIF($B$2:B171,B171)-1</f>
        <v>#NAME?</v>
      </c>
      <c r="B171" s="24" t="s">
        <v>922</v>
      </c>
      <c r="C171" s="24">
        <v>49</v>
      </c>
      <c r="D171" s="25" t="s">
        <v>498</v>
      </c>
      <c r="E171" s="25"/>
      <c r="F171" s="25" t="str">
        <f t="shared" si="0"/>
        <v>VENOMOTH</v>
      </c>
      <c r="G171" s="25" t="s">
        <v>1203</v>
      </c>
      <c r="H171" s="25" t="s">
        <v>1204</v>
      </c>
      <c r="I171" s="25" t="s">
        <v>1205</v>
      </c>
      <c r="J171" s="25" t="s">
        <v>1206</v>
      </c>
      <c r="K171" s="25" t="s">
        <v>1204</v>
      </c>
      <c r="L171" s="25" t="s">
        <v>1204</v>
      </c>
      <c r="M171" s="25" t="s">
        <v>1204</v>
      </c>
      <c r="N171" s="25" t="s">
        <v>1207</v>
      </c>
      <c r="O171" s="25" t="s">
        <v>1208</v>
      </c>
      <c r="P171" s="25" t="s">
        <v>1209</v>
      </c>
      <c r="Q171" s="25" t="s">
        <v>1204</v>
      </c>
    </row>
    <row r="172" spans="1:17" ht="25.5">
      <c r="A172" s="24" t="e">
        <f ca="1">MATCH(B172,UNIQUE($B$2:$B$1010),0)-1 &amp; ", " &amp; COUNTIF($B$2:B172,B172)-1</f>
        <v>#NAME?</v>
      </c>
      <c r="B172" s="24" t="s">
        <v>922</v>
      </c>
      <c r="C172" s="24">
        <v>50</v>
      </c>
      <c r="D172" s="25" t="s">
        <v>498</v>
      </c>
      <c r="E172" s="25"/>
      <c r="F172" s="25" t="str">
        <f t="shared" si="0"/>
        <v>DIGLETT</v>
      </c>
      <c r="G172" s="25" t="s">
        <v>1210</v>
      </c>
      <c r="H172" s="25" t="s">
        <v>1211</v>
      </c>
      <c r="I172" s="25" t="s">
        <v>1212</v>
      </c>
      <c r="J172" s="25" t="s">
        <v>1213</v>
      </c>
      <c r="K172" s="25" t="s">
        <v>1211</v>
      </c>
      <c r="L172" s="25" t="s">
        <v>1211</v>
      </c>
      <c r="M172" s="25" t="s">
        <v>1211</v>
      </c>
      <c r="N172" s="25" t="s">
        <v>1214</v>
      </c>
      <c r="O172" s="25" t="s">
        <v>1215</v>
      </c>
      <c r="P172" s="25" t="s">
        <v>1215</v>
      </c>
      <c r="Q172" s="25" t="s">
        <v>1211</v>
      </c>
    </row>
    <row r="173" spans="1:17" ht="25.5">
      <c r="A173" s="24" t="e">
        <f ca="1">MATCH(B173,UNIQUE($B$2:$B$1010),0)-1 &amp; ", " &amp; COUNTIF($B$2:B173,B173)-1</f>
        <v>#NAME?</v>
      </c>
      <c r="B173" s="24" t="s">
        <v>922</v>
      </c>
      <c r="C173" s="24">
        <v>51</v>
      </c>
      <c r="D173" s="25" t="s">
        <v>498</v>
      </c>
      <c r="E173" s="25"/>
      <c r="F173" s="25" t="str">
        <f t="shared" si="0"/>
        <v>DUGTRIO</v>
      </c>
      <c r="G173" s="25" t="s">
        <v>1216</v>
      </c>
      <c r="H173" s="25" t="s">
        <v>1217</v>
      </c>
      <c r="I173" s="25" t="s">
        <v>1218</v>
      </c>
      <c r="J173" s="25" t="s">
        <v>1219</v>
      </c>
      <c r="K173" s="25" t="s">
        <v>1217</v>
      </c>
      <c r="L173" s="25" t="s">
        <v>1217</v>
      </c>
      <c r="M173" s="25" t="s">
        <v>1217</v>
      </c>
      <c r="N173" s="25" t="s">
        <v>1220</v>
      </c>
      <c r="O173" s="25" t="s">
        <v>1221</v>
      </c>
      <c r="P173" s="25" t="s">
        <v>1221</v>
      </c>
      <c r="Q173" s="25" t="s">
        <v>1217</v>
      </c>
    </row>
    <row r="174" spans="1:17" ht="25.5">
      <c r="A174" s="24" t="e">
        <f ca="1">MATCH(B174,UNIQUE($B$2:$B$1010),0)-1 &amp; ", " &amp; COUNTIF($B$2:B174,B174)-1</f>
        <v>#NAME?</v>
      </c>
      <c r="B174" s="24" t="s">
        <v>922</v>
      </c>
      <c r="C174" s="24">
        <v>52</v>
      </c>
      <c r="D174" s="25" t="s">
        <v>498</v>
      </c>
      <c r="E174" s="25"/>
      <c r="F174" s="25" t="str">
        <f t="shared" si="0"/>
        <v>MEOWTH</v>
      </c>
      <c r="G174" s="25" t="s">
        <v>1222</v>
      </c>
      <c r="H174" s="25" t="s">
        <v>1223</v>
      </c>
      <c r="I174" s="25" t="s">
        <v>1224</v>
      </c>
      <c r="J174" s="25" t="s">
        <v>1225</v>
      </c>
      <c r="K174" s="25" t="s">
        <v>1223</v>
      </c>
      <c r="L174" s="25" t="s">
        <v>1223</v>
      </c>
      <c r="M174" s="25" t="s">
        <v>1223</v>
      </c>
      <c r="N174" s="25" t="s">
        <v>1226</v>
      </c>
      <c r="O174" s="25" t="s">
        <v>1227</v>
      </c>
      <c r="P174" s="25" t="s">
        <v>1227</v>
      </c>
      <c r="Q174" s="25" t="s">
        <v>1223</v>
      </c>
    </row>
    <row r="175" spans="1:17" ht="25.5">
      <c r="A175" s="24" t="e">
        <f ca="1">MATCH(B175,UNIQUE($B$2:$B$1010),0)-1 &amp; ", " &amp; COUNTIF($B$2:B175,B175)-1</f>
        <v>#NAME?</v>
      </c>
      <c r="B175" s="24" t="s">
        <v>922</v>
      </c>
      <c r="C175" s="24">
        <v>53</v>
      </c>
      <c r="D175" s="25" t="s">
        <v>498</v>
      </c>
      <c r="E175" s="25"/>
      <c r="F175" s="25" t="str">
        <f t="shared" si="0"/>
        <v>PERSIAN</v>
      </c>
      <c r="G175" s="25" t="s">
        <v>1228</v>
      </c>
      <c r="H175" s="25" t="s">
        <v>1229</v>
      </c>
      <c r="I175" s="25" t="s">
        <v>1229</v>
      </c>
      <c r="J175" s="25" t="s">
        <v>1230</v>
      </c>
      <c r="K175" s="25" t="s">
        <v>1229</v>
      </c>
      <c r="L175" s="25" t="s">
        <v>1229</v>
      </c>
      <c r="M175" s="25" t="s">
        <v>1229</v>
      </c>
      <c r="N175" s="25" t="s">
        <v>1231</v>
      </c>
      <c r="O175" s="25" t="s">
        <v>1232</v>
      </c>
      <c r="P175" s="25" t="s">
        <v>1233</v>
      </c>
      <c r="Q175" s="25" t="s">
        <v>1229</v>
      </c>
    </row>
    <row r="176" spans="1:17" ht="25.5">
      <c r="A176" s="24" t="e">
        <f ca="1">MATCH(B176,UNIQUE($B$2:$B$1010),0)-1 &amp; ", " &amp; COUNTIF($B$2:B176,B176)-1</f>
        <v>#NAME?</v>
      </c>
      <c r="B176" s="24" t="s">
        <v>922</v>
      </c>
      <c r="C176" s="24">
        <v>54</v>
      </c>
      <c r="D176" s="25" t="s">
        <v>498</v>
      </c>
      <c r="E176" s="25"/>
      <c r="F176" s="25" t="str">
        <f t="shared" si="0"/>
        <v>PSYDUCK</v>
      </c>
      <c r="G176" s="25" t="s">
        <v>1234</v>
      </c>
      <c r="H176" s="25" t="s">
        <v>1235</v>
      </c>
      <c r="I176" s="25" t="s">
        <v>1236</v>
      </c>
      <c r="J176" s="25" t="s">
        <v>1237</v>
      </c>
      <c r="K176" s="25" t="s">
        <v>1235</v>
      </c>
      <c r="L176" s="25" t="s">
        <v>1235</v>
      </c>
      <c r="M176" s="25" t="s">
        <v>1235</v>
      </c>
      <c r="N176" s="25" t="s">
        <v>1238</v>
      </c>
      <c r="O176" s="25" t="s">
        <v>1239</v>
      </c>
      <c r="P176" s="25" t="s">
        <v>1240</v>
      </c>
      <c r="Q176" s="25" t="s">
        <v>1235</v>
      </c>
    </row>
    <row r="177" spans="1:17" ht="25.5">
      <c r="A177" s="24" t="e">
        <f ca="1">MATCH(B177,UNIQUE($B$2:$B$1010),0)-1 &amp; ", " &amp; COUNTIF($B$2:B177,B177)-1</f>
        <v>#NAME?</v>
      </c>
      <c r="B177" s="24" t="s">
        <v>922</v>
      </c>
      <c r="C177" s="24">
        <v>55</v>
      </c>
      <c r="D177" s="25" t="s">
        <v>498</v>
      </c>
      <c r="E177" s="25"/>
      <c r="F177" s="25" t="str">
        <f t="shared" si="0"/>
        <v>GOLDUCK</v>
      </c>
      <c r="G177" s="25" t="s">
        <v>1241</v>
      </c>
      <c r="H177" s="25" t="s">
        <v>1242</v>
      </c>
      <c r="I177" s="25" t="s">
        <v>1243</v>
      </c>
      <c r="J177" s="25" t="s">
        <v>1244</v>
      </c>
      <c r="K177" s="25" t="s">
        <v>1242</v>
      </c>
      <c r="L177" s="25" t="s">
        <v>1242</v>
      </c>
      <c r="M177" s="25" t="s">
        <v>1242</v>
      </c>
      <c r="N177" s="25" t="s">
        <v>1245</v>
      </c>
      <c r="O177" s="25" t="s">
        <v>1246</v>
      </c>
      <c r="P177" s="25" t="s">
        <v>1247</v>
      </c>
      <c r="Q177" s="25" t="s">
        <v>1242</v>
      </c>
    </row>
    <row r="178" spans="1:17" ht="25.5">
      <c r="A178" s="24" t="e">
        <f ca="1">MATCH(B178,UNIQUE($B$2:$B$1010),0)-1 &amp; ", " &amp; COUNTIF($B$2:B178,B178)-1</f>
        <v>#NAME?</v>
      </c>
      <c r="B178" s="24" t="s">
        <v>922</v>
      </c>
      <c r="C178" s="24">
        <v>56</v>
      </c>
      <c r="D178" s="25" t="s">
        <v>498</v>
      </c>
      <c r="E178" s="25"/>
      <c r="F178" s="25" t="str">
        <f t="shared" si="0"/>
        <v>MANKEY</v>
      </c>
      <c r="G178" s="25" t="s">
        <v>1248</v>
      </c>
      <c r="H178" s="25" t="s">
        <v>1249</v>
      </c>
      <c r="I178" s="25" t="s">
        <v>1250</v>
      </c>
      <c r="J178" s="25" t="s">
        <v>1251</v>
      </c>
      <c r="K178" s="25" t="s">
        <v>1249</v>
      </c>
      <c r="L178" s="25" t="s">
        <v>1249</v>
      </c>
      <c r="M178" s="25" t="s">
        <v>1249</v>
      </c>
      <c r="N178" s="25" t="s">
        <v>1252</v>
      </c>
      <c r="O178" s="25" t="s">
        <v>1253</v>
      </c>
      <c r="P178" s="25" t="s">
        <v>1253</v>
      </c>
      <c r="Q178" s="25" t="s">
        <v>1249</v>
      </c>
    </row>
    <row r="179" spans="1:17" ht="25.5">
      <c r="A179" s="24" t="e">
        <f ca="1">MATCH(B179,UNIQUE($B$2:$B$1010),0)-1 &amp; ", " &amp; COUNTIF($B$2:B179,B179)-1</f>
        <v>#NAME?</v>
      </c>
      <c r="B179" s="24" t="s">
        <v>922</v>
      </c>
      <c r="C179" s="24">
        <v>57</v>
      </c>
      <c r="D179" s="25" t="s">
        <v>498</v>
      </c>
      <c r="E179" s="25"/>
      <c r="F179" s="25" t="str">
        <f t="shared" si="0"/>
        <v>PRIMEAPE</v>
      </c>
      <c r="G179" s="25" t="s">
        <v>1254</v>
      </c>
      <c r="H179" s="25" t="s">
        <v>1255</v>
      </c>
      <c r="I179" s="25" t="s">
        <v>1256</v>
      </c>
      <c r="J179" s="25" t="s">
        <v>1257</v>
      </c>
      <c r="K179" s="25" t="s">
        <v>1255</v>
      </c>
      <c r="L179" s="25" t="s">
        <v>1255</v>
      </c>
      <c r="M179" s="25" t="s">
        <v>1255</v>
      </c>
      <c r="N179" s="25" t="s">
        <v>1258</v>
      </c>
      <c r="O179" s="25" t="s">
        <v>1259</v>
      </c>
      <c r="P179" s="25" t="s">
        <v>1260</v>
      </c>
      <c r="Q179" s="25" t="s">
        <v>1255</v>
      </c>
    </row>
    <row r="180" spans="1:17" ht="25.5">
      <c r="A180" s="24" t="e">
        <f ca="1">MATCH(B180,UNIQUE($B$2:$B$1010),0)-1 &amp; ", " &amp; COUNTIF($B$2:B180,B180)-1</f>
        <v>#NAME?</v>
      </c>
      <c r="B180" s="24" t="s">
        <v>922</v>
      </c>
      <c r="C180" s="24">
        <v>58</v>
      </c>
      <c r="D180" s="25" t="s">
        <v>498</v>
      </c>
      <c r="E180" s="25"/>
      <c r="F180" s="25" t="str">
        <f t="shared" si="0"/>
        <v>GROWLITHE</v>
      </c>
      <c r="G180" s="25" t="s">
        <v>1261</v>
      </c>
      <c r="H180" s="25" t="s">
        <v>1262</v>
      </c>
      <c r="I180" s="25" t="s">
        <v>1263</v>
      </c>
      <c r="J180" s="25" t="s">
        <v>1264</v>
      </c>
      <c r="K180" s="25" t="s">
        <v>1262</v>
      </c>
      <c r="L180" s="25" t="s">
        <v>1262</v>
      </c>
      <c r="M180" s="25" t="s">
        <v>1262</v>
      </c>
      <c r="N180" s="25" t="s">
        <v>1265</v>
      </c>
      <c r="O180" s="25" t="s">
        <v>1266</v>
      </c>
      <c r="P180" s="25" t="s">
        <v>1266</v>
      </c>
      <c r="Q180" s="25" t="s">
        <v>1262</v>
      </c>
    </row>
    <row r="181" spans="1:17" ht="25.5">
      <c r="A181" s="24" t="e">
        <f ca="1">MATCH(B181,UNIQUE($B$2:$B$1010),0)-1 &amp; ", " &amp; COUNTIF($B$2:B181,B181)-1</f>
        <v>#NAME?</v>
      </c>
      <c r="B181" s="24" t="s">
        <v>922</v>
      </c>
      <c r="C181" s="24">
        <v>59</v>
      </c>
      <c r="D181" s="25" t="s">
        <v>498</v>
      </c>
      <c r="E181" s="25"/>
      <c r="F181" s="25" t="str">
        <f t="shared" si="0"/>
        <v>ARCANINE</v>
      </c>
      <c r="G181" s="25" t="s">
        <v>1267</v>
      </c>
      <c r="H181" s="25" t="s">
        <v>1268</v>
      </c>
      <c r="I181" s="25" t="s">
        <v>1269</v>
      </c>
      <c r="J181" s="25" t="s">
        <v>1270</v>
      </c>
      <c r="K181" s="25" t="s">
        <v>1268</v>
      </c>
      <c r="L181" s="25" t="s">
        <v>1268</v>
      </c>
      <c r="M181" s="25" t="s">
        <v>1268</v>
      </c>
      <c r="N181" s="25" t="s">
        <v>1271</v>
      </c>
      <c r="O181" s="25" t="s">
        <v>1272</v>
      </c>
      <c r="P181" s="25" t="s">
        <v>1273</v>
      </c>
      <c r="Q181" s="25" t="s">
        <v>1268</v>
      </c>
    </row>
    <row r="182" spans="1:17" ht="25.5">
      <c r="A182" s="24" t="e">
        <f ca="1">MATCH(B182,UNIQUE($B$2:$B$1010),0)-1 &amp; ", " &amp; COUNTIF($B$2:B182,B182)-1</f>
        <v>#NAME?</v>
      </c>
      <c r="B182" s="24" t="s">
        <v>922</v>
      </c>
      <c r="C182" s="24">
        <v>60</v>
      </c>
      <c r="D182" s="25" t="s">
        <v>498</v>
      </c>
      <c r="E182" s="25"/>
      <c r="F182" s="25" t="str">
        <f t="shared" si="0"/>
        <v>POLIWAG</v>
      </c>
      <c r="G182" s="25" t="s">
        <v>1274</v>
      </c>
      <c r="H182" s="25" t="s">
        <v>1275</v>
      </c>
      <c r="I182" s="25" t="s">
        <v>1276</v>
      </c>
      <c r="J182" s="25" t="s">
        <v>1277</v>
      </c>
      <c r="K182" s="25" t="s">
        <v>1275</v>
      </c>
      <c r="L182" s="25" t="s">
        <v>1275</v>
      </c>
      <c r="M182" s="25" t="s">
        <v>1275</v>
      </c>
      <c r="N182" s="25" t="s">
        <v>1278</v>
      </c>
      <c r="O182" s="25" t="s">
        <v>1279</v>
      </c>
      <c r="P182" s="25" t="s">
        <v>1279</v>
      </c>
      <c r="Q182" s="25" t="s">
        <v>1275</v>
      </c>
    </row>
    <row r="183" spans="1:17" ht="25.5">
      <c r="A183" s="24" t="e">
        <f ca="1">MATCH(B183,UNIQUE($B$2:$B$1010),0)-1 &amp; ", " &amp; COUNTIF($B$2:B183,B183)-1</f>
        <v>#NAME?</v>
      </c>
      <c r="B183" s="24" t="s">
        <v>922</v>
      </c>
      <c r="C183" s="24">
        <v>61</v>
      </c>
      <c r="D183" s="25" t="s">
        <v>498</v>
      </c>
      <c r="E183" s="25"/>
      <c r="F183" s="25" t="str">
        <f t="shared" si="0"/>
        <v>POLIWHIRL</v>
      </c>
      <c r="G183" s="25" t="s">
        <v>1280</v>
      </c>
      <c r="H183" s="25" t="s">
        <v>1281</v>
      </c>
      <c r="I183" s="25" t="s">
        <v>1282</v>
      </c>
      <c r="J183" s="25" t="s">
        <v>1283</v>
      </c>
      <c r="K183" s="25" t="s">
        <v>1281</v>
      </c>
      <c r="L183" s="25" t="s">
        <v>1281</v>
      </c>
      <c r="M183" s="25" t="s">
        <v>1281</v>
      </c>
      <c r="N183" s="25" t="s">
        <v>1284</v>
      </c>
      <c r="O183" s="25" t="s">
        <v>1285</v>
      </c>
      <c r="P183" s="25" t="s">
        <v>1285</v>
      </c>
      <c r="Q183" s="25" t="s">
        <v>1281</v>
      </c>
    </row>
    <row r="184" spans="1:17" ht="25.5">
      <c r="A184" s="24" t="e">
        <f ca="1">MATCH(B184,UNIQUE($B$2:$B$1010),0)-1 &amp; ", " &amp; COUNTIF($B$2:B184,B184)-1</f>
        <v>#NAME?</v>
      </c>
      <c r="B184" s="24" t="s">
        <v>922</v>
      </c>
      <c r="C184" s="24">
        <v>62</v>
      </c>
      <c r="D184" s="25" t="s">
        <v>498</v>
      </c>
      <c r="E184" s="25"/>
      <c r="F184" s="25" t="str">
        <f t="shared" si="0"/>
        <v>POLIWRATH</v>
      </c>
      <c r="G184" s="25" t="s">
        <v>1286</v>
      </c>
      <c r="H184" s="25" t="s">
        <v>1287</v>
      </c>
      <c r="I184" s="25" t="s">
        <v>1288</v>
      </c>
      <c r="J184" s="25" t="s">
        <v>1289</v>
      </c>
      <c r="K184" s="25" t="s">
        <v>1287</v>
      </c>
      <c r="L184" s="25" t="s">
        <v>1287</v>
      </c>
      <c r="M184" s="25" t="s">
        <v>1287</v>
      </c>
      <c r="N184" s="25" t="s">
        <v>1290</v>
      </c>
      <c r="O184" s="25" t="s">
        <v>1291</v>
      </c>
      <c r="P184" s="25" t="s">
        <v>1291</v>
      </c>
      <c r="Q184" s="25" t="s">
        <v>1287</v>
      </c>
    </row>
    <row r="185" spans="1:17" ht="25.5">
      <c r="A185" s="24" t="e">
        <f ca="1">MATCH(B185,UNIQUE($B$2:$B$1010),0)-1 &amp; ", " &amp; COUNTIF($B$2:B185,B185)-1</f>
        <v>#NAME?</v>
      </c>
      <c r="B185" s="24" t="s">
        <v>922</v>
      </c>
      <c r="C185" s="24">
        <v>63</v>
      </c>
      <c r="D185" s="25" t="s">
        <v>498</v>
      </c>
      <c r="E185" s="25"/>
      <c r="F185" s="25" t="str">
        <f t="shared" si="0"/>
        <v>ABRA</v>
      </c>
      <c r="G185" s="25" t="s">
        <v>1292</v>
      </c>
      <c r="H185" s="25" t="s">
        <v>1293</v>
      </c>
      <c r="I185" s="25" t="s">
        <v>1293</v>
      </c>
      <c r="J185" s="25" t="s">
        <v>1293</v>
      </c>
      <c r="K185" s="25" t="s">
        <v>1293</v>
      </c>
      <c r="L185" s="25" t="s">
        <v>1293</v>
      </c>
      <c r="M185" s="25" t="s">
        <v>1293</v>
      </c>
      <c r="N185" s="25" t="s">
        <v>1294</v>
      </c>
      <c r="O185" s="25" t="s">
        <v>1295</v>
      </c>
      <c r="P185" s="25" t="s">
        <v>1296</v>
      </c>
      <c r="Q185" s="25" t="s">
        <v>1293</v>
      </c>
    </row>
    <row r="186" spans="1:17" ht="25.5">
      <c r="A186" s="24" t="e">
        <f ca="1">MATCH(B186,UNIQUE($B$2:$B$1010),0)-1 &amp; ", " &amp; COUNTIF($B$2:B186,B186)-1</f>
        <v>#NAME?</v>
      </c>
      <c r="B186" s="24" t="s">
        <v>922</v>
      </c>
      <c r="C186" s="24">
        <v>64</v>
      </c>
      <c r="D186" s="25" t="s">
        <v>498</v>
      </c>
      <c r="E186" s="25"/>
      <c r="F186" s="25" t="str">
        <f t="shared" si="0"/>
        <v>KADABRA</v>
      </c>
      <c r="G186" s="25" t="s">
        <v>1297</v>
      </c>
      <c r="H186" s="25" t="s">
        <v>1298</v>
      </c>
      <c r="I186" s="25" t="s">
        <v>1298</v>
      </c>
      <c r="J186" s="25" t="s">
        <v>1298</v>
      </c>
      <c r="K186" s="25" t="s">
        <v>1298</v>
      </c>
      <c r="L186" s="25" t="s">
        <v>1298</v>
      </c>
      <c r="M186" s="25" t="s">
        <v>1298</v>
      </c>
      <c r="N186" s="25" t="s">
        <v>1299</v>
      </c>
      <c r="O186" s="25" t="s">
        <v>1300</v>
      </c>
      <c r="P186" s="25" t="s">
        <v>1300</v>
      </c>
      <c r="Q186" s="25" t="s">
        <v>1298</v>
      </c>
    </row>
    <row r="187" spans="1:17" ht="25.5">
      <c r="A187" s="24" t="e">
        <f ca="1">MATCH(B187,UNIQUE($B$2:$B$1010),0)-1 &amp; ", " &amp; COUNTIF($B$2:B187,B187)-1</f>
        <v>#NAME?</v>
      </c>
      <c r="B187" s="24" t="s">
        <v>922</v>
      </c>
      <c r="C187" s="24">
        <v>65</v>
      </c>
      <c r="D187" s="25" t="s">
        <v>498</v>
      </c>
      <c r="E187" s="25"/>
      <c r="F187" s="25" t="str">
        <f t="shared" si="0"/>
        <v>ALAKAZAM</v>
      </c>
      <c r="G187" s="25" t="s">
        <v>1301</v>
      </c>
      <c r="H187" s="25" t="s">
        <v>1302</v>
      </c>
      <c r="I187" s="25" t="s">
        <v>1302</v>
      </c>
      <c r="J187" s="25" t="s">
        <v>1303</v>
      </c>
      <c r="K187" s="25" t="s">
        <v>1302</v>
      </c>
      <c r="L187" s="25" t="s">
        <v>1302</v>
      </c>
      <c r="M187" s="25" t="s">
        <v>1302</v>
      </c>
      <c r="N187" s="25" t="s">
        <v>1304</v>
      </c>
      <c r="O187" s="25" t="s">
        <v>1305</v>
      </c>
      <c r="P187" s="25" t="s">
        <v>1305</v>
      </c>
      <c r="Q187" s="25" t="s">
        <v>1302</v>
      </c>
    </row>
    <row r="188" spans="1:17" ht="25.5">
      <c r="A188" s="24" t="e">
        <f ca="1">MATCH(B188,UNIQUE($B$2:$B$1010),0)-1 &amp; ", " &amp; COUNTIF($B$2:B188,B188)-1</f>
        <v>#NAME?</v>
      </c>
      <c r="B188" s="24" t="s">
        <v>922</v>
      </c>
      <c r="C188" s="24">
        <v>66</v>
      </c>
      <c r="D188" s="25" t="s">
        <v>498</v>
      </c>
      <c r="E188" s="25"/>
      <c r="F188" s="25" t="str">
        <f t="shared" si="0"/>
        <v>MACHOP</v>
      </c>
      <c r="G188" s="25" t="s">
        <v>1306</v>
      </c>
      <c r="H188" s="25" t="s">
        <v>1307</v>
      </c>
      <c r="I188" s="25" t="s">
        <v>1308</v>
      </c>
      <c r="J188" s="25" t="s">
        <v>1309</v>
      </c>
      <c r="K188" s="25" t="s">
        <v>1307</v>
      </c>
      <c r="L188" s="25" t="s">
        <v>1307</v>
      </c>
      <c r="M188" s="25" t="s">
        <v>1307</v>
      </c>
      <c r="N188" s="25" t="s">
        <v>1310</v>
      </c>
      <c r="O188" s="25" t="s">
        <v>1311</v>
      </c>
      <c r="P188" s="25" t="s">
        <v>1311</v>
      </c>
      <c r="Q188" s="25" t="s">
        <v>1307</v>
      </c>
    </row>
    <row r="189" spans="1:17" ht="25.5">
      <c r="A189" s="24" t="e">
        <f ca="1">MATCH(B189,UNIQUE($B$2:$B$1010),0)-1 &amp; ", " &amp; COUNTIF($B$2:B189,B189)-1</f>
        <v>#NAME?</v>
      </c>
      <c r="B189" s="24" t="s">
        <v>922</v>
      </c>
      <c r="C189" s="24">
        <v>67</v>
      </c>
      <c r="D189" s="25" t="s">
        <v>498</v>
      </c>
      <c r="E189" s="25"/>
      <c r="F189" s="25" t="str">
        <f t="shared" si="0"/>
        <v>MACHOKE</v>
      </c>
      <c r="G189" s="25" t="s">
        <v>1312</v>
      </c>
      <c r="H189" s="25" t="s">
        <v>1313</v>
      </c>
      <c r="I189" s="25" t="s">
        <v>1314</v>
      </c>
      <c r="J189" s="25" t="s">
        <v>1315</v>
      </c>
      <c r="K189" s="25" t="s">
        <v>1313</v>
      </c>
      <c r="L189" s="25" t="s">
        <v>1313</v>
      </c>
      <c r="M189" s="25" t="s">
        <v>1313</v>
      </c>
      <c r="N189" s="25" t="s">
        <v>1316</v>
      </c>
      <c r="O189" s="25" t="s">
        <v>1317</v>
      </c>
      <c r="P189" s="25" t="s">
        <v>1317</v>
      </c>
      <c r="Q189" s="25" t="s">
        <v>1313</v>
      </c>
    </row>
    <row r="190" spans="1:17" ht="25.5">
      <c r="A190" s="24" t="e">
        <f ca="1">MATCH(B190,UNIQUE($B$2:$B$1010),0)-1 &amp; ", " &amp; COUNTIF($B$2:B190,B190)-1</f>
        <v>#NAME?</v>
      </c>
      <c r="B190" s="24" t="s">
        <v>922</v>
      </c>
      <c r="C190" s="24">
        <v>68</v>
      </c>
      <c r="D190" s="25" t="s">
        <v>498</v>
      </c>
      <c r="E190" s="25"/>
      <c r="F190" s="25" t="str">
        <f t="shared" si="0"/>
        <v>MACHAMP</v>
      </c>
      <c r="G190" s="25" t="s">
        <v>1318</v>
      </c>
      <c r="H190" s="25" t="s">
        <v>1319</v>
      </c>
      <c r="I190" s="25" t="s">
        <v>1320</v>
      </c>
      <c r="J190" s="25" t="s">
        <v>1321</v>
      </c>
      <c r="K190" s="25" t="s">
        <v>1319</v>
      </c>
      <c r="L190" s="25" t="s">
        <v>1319</v>
      </c>
      <c r="M190" s="25" t="s">
        <v>1319</v>
      </c>
      <c r="N190" s="25" t="s">
        <v>1322</v>
      </c>
      <c r="O190" s="25" t="s">
        <v>1323</v>
      </c>
      <c r="P190" s="25" t="s">
        <v>1323</v>
      </c>
      <c r="Q190" s="25" t="s">
        <v>1319</v>
      </c>
    </row>
    <row r="191" spans="1:17" ht="25.5">
      <c r="A191" s="24" t="e">
        <f ca="1">MATCH(B191,UNIQUE($B$2:$B$1010),0)-1 &amp; ", " &amp; COUNTIF($B$2:B191,B191)-1</f>
        <v>#NAME?</v>
      </c>
      <c r="B191" s="24" t="s">
        <v>922</v>
      </c>
      <c r="C191" s="24">
        <v>69</v>
      </c>
      <c r="D191" s="25" t="s">
        <v>498</v>
      </c>
      <c r="E191" s="25"/>
      <c r="F191" s="25" t="str">
        <f t="shared" si="0"/>
        <v>BELLSPROUT</v>
      </c>
      <c r="G191" s="25" t="s">
        <v>1324</v>
      </c>
      <c r="H191" s="25" t="s">
        <v>1325</v>
      </c>
      <c r="I191" s="25" t="s">
        <v>1326</v>
      </c>
      <c r="J191" s="25" t="s">
        <v>1327</v>
      </c>
      <c r="K191" s="25" t="s">
        <v>1325</v>
      </c>
      <c r="L191" s="25" t="s">
        <v>1325</v>
      </c>
      <c r="M191" s="25" t="s">
        <v>1325</v>
      </c>
      <c r="N191" s="25" t="s">
        <v>1328</v>
      </c>
      <c r="O191" s="25" t="s">
        <v>1329</v>
      </c>
      <c r="P191" s="25" t="s">
        <v>1329</v>
      </c>
      <c r="Q191" s="25" t="s">
        <v>1325</v>
      </c>
    </row>
    <row r="192" spans="1:17" ht="25.5">
      <c r="A192" s="24" t="e">
        <f ca="1">MATCH(B192,UNIQUE($B$2:$B$1010),0)-1 &amp; ", " &amp; COUNTIF($B$2:B192,B192)-1</f>
        <v>#NAME?</v>
      </c>
      <c r="B192" s="24" t="s">
        <v>922</v>
      </c>
      <c r="C192" s="24">
        <v>70</v>
      </c>
      <c r="D192" s="25" t="s">
        <v>498</v>
      </c>
      <c r="E192" s="25"/>
      <c r="F192" s="25" t="str">
        <f t="shared" si="0"/>
        <v>WEEPINBELL</v>
      </c>
      <c r="G192" s="25" t="s">
        <v>1330</v>
      </c>
      <c r="H192" s="25" t="s">
        <v>1331</v>
      </c>
      <c r="I192" s="25" t="s">
        <v>1332</v>
      </c>
      <c r="J192" s="25" t="s">
        <v>1333</v>
      </c>
      <c r="K192" s="25" t="s">
        <v>1331</v>
      </c>
      <c r="L192" s="25" t="s">
        <v>1331</v>
      </c>
      <c r="M192" s="25" t="s">
        <v>1331</v>
      </c>
      <c r="N192" s="25" t="s">
        <v>1334</v>
      </c>
      <c r="O192" s="25" t="s">
        <v>1335</v>
      </c>
      <c r="P192" s="25" t="s">
        <v>1335</v>
      </c>
      <c r="Q192" s="25" t="s">
        <v>1331</v>
      </c>
    </row>
    <row r="193" spans="1:17" ht="25.5">
      <c r="A193" s="24" t="e">
        <f ca="1">MATCH(B193,UNIQUE($B$2:$B$1010),0)-1 &amp; ", " &amp; COUNTIF($B$2:B193,B193)-1</f>
        <v>#NAME?</v>
      </c>
      <c r="B193" s="24" t="s">
        <v>922</v>
      </c>
      <c r="C193" s="24">
        <v>71</v>
      </c>
      <c r="D193" s="25" t="s">
        <v>498</v>
      </c>
      <c r="E193" s="25"/>
      <c r="F193" s="25" t="str">
        <f t="shared" si="0"/>
        <v>VICTREEBEL</v>
      </c>
      <c r="G193" s="25" t="s">
        <v>1336</v>
      </c>
      <c r="H193" s="25" t="s">
        <v>1337</v>
      </c>
      <c r="I193" s="25" t="s">
        <v>1338</v>
      </c>
      <c r="J193" s="25" t="s">
        <v>1339</v>
      </c>
      <c r="K193" s="25" t="s">
        <v>1337</v>
      </c>
      <c r="L193" s="25" t="s">
        <v>1337</v>
      </c>
      <c r="M193" s="25" t="s">
        <v>1337</v>
      </c>
      <c r="N193" s="25" t="s">
        <v>1340</v>
      </c>
      <c r="O193" s="25" t="s">
        <v>1341</v>
      </c>
      <c r="P193" s="25" t="s">
        <v>1341</v>
      </c>
      <c r="Q193" s="25" t="s">
        <v>1337</v>
      </c>
    </row>
    <row r="194" spans="1:17" ht="25.5">
      <c r="A194" s="24" t="e">
        <f ca="1">MATCH(B194,UNIQUE($B$2:$B$1010),0)-1 &amp; ", " &amp; COUNTIF($B$2:B194,B194)-1</f>
        <v>#NAME?</v>
      </c>
      <c r="B194" s="24" t="s">
        <v>922</v>
      </c>
      <c r="C194" s="24">
        <v>72</v>
      </c>
      <c r="D194" s="25" t="s">
        <v>498</v>
      </c>
      <c r="E194" s="25"/>
      <c r="F194" s="25" t="str">
        <f t="shared" si="0"/>
        <v>TENTACOOL</v>
      </c>
      <c r="G194" s="25" t="s">
        <v>1342</v>
      </c>
      <c r="H194" s="25" t="s">
        <v>1343</v>
      </c>
      <c r="I194" s="25" t="s">
        <v>1343</v>
      </c>
      <c r="J194" s="25" t="s">
        <v>1344</v>
      </c>
      <c r="K194" s="25" t="s">
        <v>1343</v>
      </c>
      <c r="L194" s="25" t="s">
        <v>1343</v>
      </c>
      <c r="M194" s="25" t="s">
        <v>1343</v>
      </c>
      <c r="N194" s="25" t="s">
        <v>1345</v>
      </c>
      <c r="O194" s="25" t="s">
        <v>1346</v>
      </c>
      <c r="P194" s="25" t="s">
        <v>1347</v>
      </c>
      <c r="Q194" s="25" t="s">
        <v>1343</v>
      </c>
    </row>
    <row r="195" spans="1:17" ht="25.5">
      <c r="A195" s="24" t="e">
        <f ca="1">MATCH(B195,UNIQUE($B$2:$B$1010),0)-1 &amp; ", " &amp; COUNTIF($B$2:B195,B195)-1</f>
        <v>#NAME?</v>
      </c>
      <c r="B195" s="24" t="s">
        <v>922</v>
      </c>
      <c r="C195" s="24">
        <v>73</v>
      </c>
      <c r="D195" s="25" t="s">
        <v>498</v>
      </c>
      <c r="E195" s="25"/>
      <c r="F195" s="25" t="str">
        <f t="shared" si="0"/>
        <v>TENTACRUEL</v>
      </c>
      <c r="G195" s="25" t="s">
        <v>1348</v>
      </c>
      <c r="H195" s="25" t="s">
        <v>1349</v>
      </c>
      <c r="I195" s="25" t="s">
        <v>1349</v>
      </c>
      <c r="J195" s="25" t="s">
        <v>1350</v>
      </c>
      <c r="K195" s="25" t="s">
        <v>1349</v>
      </c>
      <c r="L195" s="25" t="s">
        <v>1349</v>
      </c>
      <c r="M195" s="25" t="s">
        <v>1349</v>
      </c>
      <c r="N195" s="25" t="s">
        <v>1351</v>
      </c>
      <c r="O195" s="25" t="s">
        <v>1352</v>
      </c>
      <c r="P195" s="25" t="s">
        <v>1352</v>
      </c>
      <c r="Q195" s="25" t="s">
        <v>1349</v>
      </c>
    </row>
    <row r="196" spans="1:17" ht="25.5">
      <c r="A196" s="24" t="e">
        <f ca="1">MATCH(B196,UNIQUE($B$2:$B$1010),0)-1 &amp; ", " &amp; COUNTIF($B$2:B196,B196)-1</f>
        <v>#NAME?</v>
      </c>
      <c r="B196" s="24" t="s">
        <v>922</v>
      </c>
      <c r="C196" s="24">
        <v>74</v>
      </c>
      <c r="D196" s="25" t="s">
        <v>498</v>
      </c>
      <c r="E196" s="25"/>
      <c r="F196" s="25" t="str">
        <f t="shared" si="0"/>
        <v>GEODUDE</v>
      </c>
      <c r="G196" s="25" t="s">
        <v>1353</v>
      </c>
      <c r="H196" s="25" t="s">
        <v>1354</v>
      </c>
      <c r="I196" s="25" t="s">
        <v>1355</v>
      </c>
      <c r="J196" s="25" t="s">
        <v>1356</v>
      </c>
      <c r="K196" s="25" t="s">
        <v>1354</v>
      </c>
      <c r="L196" s="25" t="s">
        <v>1354</v>
      </c>
      <c r="M196" s="25" t="s">
        <v>1354</v>
      </c>
      <c r="N196" s="25" t="s">
        <v>1357</v>
      </c>
      <c r="O196" s="25" t="s">
        <v>1358</v>
      </c>
      <c r="P196" s="25" t="s">
        <v>1358</v>
      </c>
      <c r="Q196" s="25" t="s">
        <v>1354</v>
      </c>
    </row>
    <row r="197" spans="1:17" ht="25.5">
      <c r="A197" s="24" t="e">
        <f ca="1">MATCH(B197,UNIQUE($B$2:$B$1010),0)-1 &amp; ", " &amp; COUNTIF($B$2:B197,B197)-1</f>
        <v>#NAME?</v>
      </c>
      <c r="B197" s="24" t="s">
        <v>922</v>
      </c>
      <c r="C197" s="24">
        <v>75</v>
      </c>
      <c r="D197" s="25" t="s">
        <v>498</v>
      </c>
      <c r="E197" s="25"/>
      <c r="F197" s="25" t="str">
        <f t="shared" si="0"/>
        <v>GRAVELER</v>
      </c>
      <c r="G197" s="25" t="s">
        <v>1359</v>
      </c>
      <c r="H197" s="25" t="s">
        <v>1360</v>
      </c>
      <c r="I197" s="25" t="s">
        <v>1361</v>
      </c>
      <c r="J197" s="25" t="s">
        <v>1362</v>
      </c>
      <c r="K197" s="25" t="s">
        <v>1360</v>
      </c>
      <c r="L197" s="25" t="s">
        <v>1360</v>
      </c>
      <c r="M197" s="25" t="s">
        <v>1360</v>
      </c>
      <c r="N197" s="25" t="s">
        <v>1363</v>
      </c>
      <c r="O197" s="25" t="s">
        <v>1364</v>
      </c>
      <c r="P197" s="25" t="s">
        <v>1364</v>
      </c>
      <c r="Q197" s="25" t="s">
        <v>1360</v>
      </c>
    </row>
    <row r="198" spans="1:17" ht="25.5">
      <c r="A198" s="24" t="e">
        <f ca="1">MATCH(B198,UNIQUE($B$2:$B$1010),0)-1 &amp; ", " &amp; COUNTIF($B$2:B198,B198)-1</f>
        <v>#NAME?</v>
      </c>
      <c r="B198" s="24" t="s">
        <v>922</v>
      </c>
      <c r="C198" s="24">
        <v>76</v>
      </c>
      <c r="D198" s="25" t="s">
        <v>498</v>
      </c>
      <c r="E198" s="25"/>
      <c r="F198" s="25" t="str">
        <f t="shared" si="0"/>
        <v>GOLEM</v>
      </c>
      <c r="G198" s="25" t="s">
        <v>1365</v>
      </c>
      <c r="H198" s="25" t="s">
        <v>1366</v>
      </c>
      <c r="I198" s="25" t="s">
        <v>1367</v>
      </c>
      <c r="J198" s="25" t="s">
        <v>1368</v>
      </c>
      <c r="K198" s="25" t="s">
        <v>1366</v>
      </c>
      <c r="L198" s="25" t="s">
        <v>1366</v>
      </c>
      <c r="M198" s="25" t="s">
        <v>1366</v>
      </c>
      <c r="N198" s="25" t="s">
        <v>1369</v>
      </c>
      <c r="O198" s="25" t="s">
        <v>1370</v>
      </c>
      <c r="P198" s="25" t="s">
        <v>1370</v>
      </c>
      <c r="Q198" s="25" t="s">
        <v>1366</v>
      </c>
    </row>
    <row r="199" spans="1:17" ht="25.5">
      <c r="A199" s="24" t="e">
        <f ca="1">MATCH(B199,UNIQUE($B$2:$B$1010),0)-1 &amp; ", " &amp; COUNTIF($B$2:B199,B199)-1</f>
        <v>#NAME?</v>
      </c>
      <c r="B199" s="24" t="s">
        <v>922</v>
      </c>
      <c r="C199" s="24">
        <v>77</v>
      </c>
      <c r="D199" s="25" t="s">
        <v>498</v>
      </c>
      <c r="E199" s="25"/>
      <c r="F199" s="25" t="str">
        <f t="shared" si="0"/>
        <v>PONYTA</v>
      </c>
      <c r="G199" s="25" t="s">
        <v>1371</v>
      </c>
      <c r="H199" s="25" t="s">
        <v>1372</v>
      </c>
      <c r="I199" s="25" t="s">
        <v>1372</v>
      </c>
      <c r="J199" s="25" t="s">
        <v>1373</v>
      </c>
      <c r="K199" s="25" t="s">
        <v>1372</v>
      </c>
      <c r="L199" s="25" t="s">
        <v>1372</v>
      </c>
      <c r="M199" s="25" t="s">
        <v>1372</v>
      </c>
      <c r="N199" s="25" t="s">
        <v>1374</v>
      </c>
      <c r="O199" s="25" t="s">
        <v>1375</v>
      </c>
      <c r="P199" s="25" t="s">
        <v>1376</v>
      </c>
      <c r="Q199" s="25" t="s">
        <v>1372</v>
      </c>
    </row>
    <row r="200" spans="1:17" ht="25.5">
      <c r="A200" s="24" t="e">
        <f ca="1">MATCH(B200,UNIQUE($B$2:$B$1010),0)-1 &amp; ", " &amp; COUNTIF($B$2:B200,B200)-1</f>
        <v>#NAME?</v>
      </c>
      <c r="B200" s="24" t="s">
        <v>922</v>
      </c>
      <c r="C200" s="24">
        <v>78</v>
      </c>
      <c r="D200" s="25" t="s">
        <v>498</v>
      </c>
      <c r="E200" s="25"/>
      <c r="F200" s="25" t="str">
        <f t="shared" si="0"/>
        <v>RAPIDASH</v>
      </c>
      <c r="G200" s="25" t="s">
        <v>1377</v>
      </c>
      <c r="H200" s="25" t="s">
        <v>1378</v>
      </c>
      <c r="I200" s="25" t="s">
        <v>1379</v>
      </c>
      <c r="J200" s="25" t="s">
        <v>1380</v>
      </c>
      <c r="K200" s="25" t="s">
        <v>1378</v>
      </c>
      <c r="L200" s="25" t="s">
        <v>1378</v>
      </c>
      <c r="M200" s="25" t="s">
        <v>1378</v>
      </c>
      <c r="N200" s="25" t="s">
        <v>1381</v>
      </c>
      <c r="O200" s="25" t="s">
        <v>1382</v>
      </c>
      <c r="P200" s="25" t="s">
        <v>1383</v>
      </c>
      <c r="Q200" s="25" t="s">
        <v>1378</v>
      </c>
    </row>
    <row r="201" spans="1:17" ht="25.5">
      <c r="A201" s="24" t="e">
        <f ca="1">MATCH(B201,UNIQUE($B$2:$B$1010),0)-1 &amp; ", " &amp; COUNTIF($B$2:B201,B201)-1</f>
        <v>#NAME?</v>
      </c>
      <c r="B201" s="24" t="s">
        <v>922</v>
      </c>
      <c r="C201" s="24">
        <v>79</v>
      </c>
      <c r="D201" s="25" t="s">
        <v>498</v>
      </c>
      <c r="E201" s="25"/>
      <c r="F201" s="25" t="str">
        <f t="shared" si="0"/>
        <v>SLOWPOKE</v>
      </c>
      <c r="G201" s="25" t="s">
        <v>1384</v>
      </c>
      <c r="H201" s="25" t="s">
        <v>1385</v>
      </c>
      <c r="I201" s="25" t="s">
        <v>1386</v>
      </c>
      <c r="J201" s="25" t="s">
        <v>1387</v>
      </c>
      <c r="K201" s="25" t="s">
        <v>1385</v>
      </c>
      <c r="L201" s="25" t="s">
        <v>1385</v>
      </c>
      <c r="M201" s="25" t="s">
        <v>1385</v>
      </c>
      <c r="N201" s="25" t="s">
        <v>1388</v>
      </c>
      <c r="O201" s="25" t="s">
        <v>1389</v>
      </c>
      <c r="P201" s="25" t="s">
        <v>1390</v>
      </c>
      <c r="Q201" s="25" t="s">
        <v>1385</v>
      </c>
    </row>
    <row r="202" spans="1:17" ht="25.5">
      <c r="A202" s="24" t="e">
        <f ca="1">MATCH(B202,UNIQUE($B$2:$B$1010),0)-1 &amp; ", " &amp; COUNTIF($B$2:B202,B202)-1</f>
        <v>#NAME?</v>
      </c>
      <c r="B202" s="24" t="s">
        <v>922</v>
      </c>
      <c r="C202" s="24">
        <v>80</v>
      </c>
      <c r="D202" s="25" t="s">
        <v>498</v>
      </c>
      <c r="E202" s="25"/>
      <c r="F202" s="25" t="str">
        <f t="shared" si="0"/>
        <v>SLOWBRO</v>
      </c>
      <c r="G202" s="25" t="s">
        <v>1391</v>
      </c>
      <c r="H202" s="25" t="s">
        <v>1392</v>
      </c>
      <c r="I202" s="25" t="s">
        <v>1393</v>
      </c>
      <c r="J202" s="25" t="s">
        <v>1394</v>
      </c>
      <c r="K202" s="25" t="s">
        <v>1392</v>
      </c>
      <c r="L202" s="25" t="s">
        <v>1392</v>
      </c>
      <c r="M202" s="25" t="s">
        <v>1392</v>
      </c>
      <c r="N202" s="25" t="s">
        <v>1395</v>
      </c>
      <c r="O202" s="25" t="s">
        <v>1396</v>
      </c>
      <c r="P202" s="25" t="s">
        <v>1397</v>
      </c>
      <c r="Q202" s="25" t="s">
        <v>1392</v>
      </c>
    </row>
    <row r="203" spans="1:17" ht="25.5">
      <c r="A203" s="24" t="e">
        <f ca="1">MATCH(B203,UNIQUE($B$2:$B$1010),0)-1 &amp; ", " &amp; COUNTIF($B$2:B203,B203)-1</f>
        <v>#NAME?</v>
      </c>
      <c r="B203" s="24" t="s">
        <v>922</v>
      </c>
      <c r="C203" s="24">
        <v>81</v>
      </c>
      <c r="D203" s="25" t="s">
        <v>498</v>
      </c>
      <c r="E203" s="25"/>
      <c r="F203" s="25" t="str">
        <f t="shared" si="0"/>
        <v>MAGNEMITE</v>
      </c>
      <c r="G203" s="25" t="s">
        <v>1398</v>
      </c>
      <c r="H203" s="25" t="s">
        <v>1399</v>
      </c>
      <c r="I203" s="25" t="s">
        <v>1400</v>
      </c>
      <c r="J203" s="25" t="s">
        <v>1401</v>
      </c>
      <c r="K203" s="25" t="s">
        <v>1399</v>
      </c>
      <c r="L203" s="25" t="s">
        <v>1399</v>
      </c>
      <c r="M203" s="25" t="s">
        <v>1399</v>
      </c>
      <c r="N203" s="25" t="s">
        <v>1402</v>
      </c>
      <c r="O203" s="25" t="s">
        <v>1403</v>
      </c>
      <c r="P203" s="25" t="s">
        <v>1403</v>
      </c>
      <c r="Q203" s="25" t="s">
        <v>1399</v>
      </c>
    </row>
    <row r="204" spans="1:17" ht="25.5">
      <c r="A204" s="24" t="e">
        <f ca="1">MATCH(B204,UNIQUE($B$2:$B$1010),0)-1 &amp; ", " &amp; COUNTIF($B$2:B204,B204)-1</f>
        <v>#NAME?</v>
      </c>
      <c r="B204" s="24" t="s">
        <v>922</v>
      </c>
      <c r="C204" s="24">
        <v>82</v>
      </c>
      <c r="D204" s="25" t="s">
        <v>498</v>
      </c>
      <c r="E204" s="25"/>
      <c r="F204" s="25" t="str">
        <f t="shared" si="0"/>
        <v>MAGNETON</v>
      </c>
      <c r="G204" s="25" t="s">
        <v>1404</v>
      </c>
      <c r="H204" s="25" t="s">
        <v>1405</v>
      </c>
      <c r="I204" s="25" t="s">
        <v>1405</v>
      </c>
      <c r="J204" s="25" t="s">
        <v>1405</v>
      </c>
      <c r="K204" s="25" t="s">
        <v>1405</v>
      </c>
      <c r="L204" s="25" t="s">
        <v>1405</v>
      </c>
      <c r="M204" s="25" t="s">
        <v>1405</v>
      </c>
      <c r="N204" s="25" t="s">
        <v>1406</v>
      </c>
      <c r="O204" s="25" t="s">
        <v>1407</v>
      </c>
      <c r="P204" s="25" t="s">
        <v>1407</v>
      </c>
      <c r="Q204" s="25" t="s">
        <v>1405</v>
      </c>
    </row>
    <row r="205" spans="1:17" ht="25.5">
      <c r="A205" s="24" t="e">
        <f ca="1">MATCH(B205,UNIQUE($B$2:$B$1010),0)-1 &amp; ", " &amp; COUNTIF($B$2:B205,B205)-1</f>
        <v>#NAME?</v>
      </c>
      <c r="B205" s="24" t="s">
        <v>922</v>
      </c>
      <c r="C205" s="24">
        <v>83</v>
      </c>
      <c r="D205" s="25" t="s">
        <v>498</v>
      </c>
      <c r="E205" s="25"/>
      <c r="F205" s="25" t="str">
        <f t="shared" si="0"/>
        <v>FARFETCH’D</v>
      </c>
      <c r="G205" s="25" t="s">
        <v>1408</v>
      </c>
      <c r="H205" s="25" t="s">
        <v>1409</v>
      </c>
      <c r="I205" s="25" t="s">
        <v>1410</v>
      </c>
      <c r="J205" s="25" t="s">
        <v>1411</v>
      </c>
      <c r="K205" s="25" t="s">
        <v>1409</v>
      </c>
      <c r="L205" s="25" t="s">
        <v>1412</v>
      </c>
      <c r="M205" s="25" t="s">
        <v>1409</v>
      </c>
      <c r="N205" s="25" t="s">
        <v>1413</v>
      </c>
      <c r="O205" s="25" t="s">
        <v>1414</v>
      </c>
      <c r="P205" s="25" t="s">
        <v>1415</v>
      </c>
      <c r="Q205" s="25" t="s">
        <v>1409</v>
      </c>
    </row>
    <row r="206" spans="1:17" ht="25.5">
      <c r="A206" s="24" t="e">
        <f ca="1">MATCH(B206,UNIQUE($B$2:$B$1010),0)-1 &amp; ", " &amp; COUNTIF($B$2:B206,B206)-1</f>
        <v>#NAME?</v>
      </c>
      <c r="B206" s="24" t="s">
        <v>922</v>
      </c>
      <c r="C206" s="24">
        <v>84</v>
      </c>
      <c r="D206" s="25" t="s">
        <v>498</v>
      </c>
      <c r="E206" s="25"/>
      <c r="F206" s="25" t="str">
        <f t="shared" si="0"/>
        <v>DODUO</v>
      </c>
      <c r="G206" s="25" t="s">
        <v>1416</v>
      </c>
      <c r="H206" s="25" t="s">
        <v>1417</v>
      </c>
      <c r="I206" s="25" t="s">
        <v>1417</v>
      </c>
      <c r="J206" s="25" t="s">
        <v>1418</v>
      </c>
      <c r="K206" s="25" t="s">
        <v>1417</v>
      </c>
      <c r="L206" s="25" t="s">
        <v>1417</v>
      </c>
      <c r="M206" s="25" t="s">
        <v>1417</v>
      </c>
      <c r="N206" s="25" t="s">
        <v>1419</v>
      </c>
      <c r="O206" s="25" t="s">
        <v>1420</v>
      </c>
      <c r="P206" s="25" t="s">
        <v>1420</v>
      </c>
      <c r="Q206" s="25" t="s">
        <v>1417</v>
      </c>
    </row>
    <row r="207" spans="1:17" ht="25.5">
      <c r="A207" s="24" t="e">
        <f ca="1">MATCH(B207,UNIQUE($B$2:$B$1010),0)-1 &amp; ", " &amp; COUNTIF($B$2:B207,B207)-1</f>
        <v>#NAME?</v>
      </c>
      <c r="B207" s="24" t="s">
        <v>922</v>
      </c>
      <c r="C207" s="24">
        <v>85</v>
      </c>
      <c r="D207" s="25" t="s">
        <v>498</v>
      </c>
      <c r="E207" s="25"/>
      <c r="F207" s="25" t="str">
        <f t="shared" si="0"/>
        <v>DODRIO</v>
      </c>
      <c r="G207" s="25" t="s">
        <v>1421</v>
      </c>
      <c r="H207" s="25" t="s">
        <v>1422</v>
      </c>
      <c r="I207" s="25" t="s">
        <v>1422</v>
      </c>
      <c r="J207" s="25" t="s">
        <v>1423</v>
      </c>
      <c r="K207" s="25" t="s">
        <v>1422</v>
      </c>
      <c r="L207" s="25" t="s">
        <v>1422</v>
      </c>
      <c r="M207" s="25" t="s">
        <v>1422</v>
      </c>
      <c r="N207" s="25" t="s">
        <v>1424</v>
      </c>
      <c r="O207" s="25" t="s">
        <v>1425</v>
      </c>
      <c r="P207" s="25" t="s">
        <v>1425</v>
      </c>
      <c r="Q207" s="25" t="s">
        <v>1422</v>
      </c>
    </row>
    <row r="208" spans="1:17" ht="25.5">
      <c r="A208" s="24" t="e">
        <f ca="1">MATCH(B208,UNIQUE($B$2:$B$1010),0)-1 &amp; ", " &amp; COUNTIF($B$2:B208,B208)-1</f>
        <v>#NAME?</v>
      </c>
      <c r="B208" s="24" t="s">
        <v>922</v>
      </c>
      <c r="C208" s="24">
        <v>86</v>
      </c>
      <c r="D208" s="25" t="s">
        <v>498</v>
      </c>
      <c r="E208" s="25"/>
      <c r="F208" s="25" t="str">
        <f t="shared" si="0"/>
        <v>SEEL</v>
      </c>
      <c r="G208" s="25" t="s">
        <v>1426</v>
      </c>
      <c r="H208" s="25" t="s">
        <v>1427</v>
      </c>
      <c r="I208" s="25" t="s">
        <v>1428</v>
      </c>
      <c r="J208" s="25" t="s">
        <v>1429</v>
      </c>
      <c r="K208" s="25" t="s">
        <v>1427</v>
      </c>
      <c r="L208" s="25" t="s">
        <v>1427</v>
      </c>
      <c r="M208" s="25" t="s">
        <v>1427</v>
      </c>
      <c r="N208" s="25" t="s">
        <v>1430</v>
      </c>
      <c r="O208" s="25" t="s">
        <v>1431</v>
      </c>
      <c r="P208" s="25" t="s">
        <v>1432</v>
      </c>
      <c r="Q208" s="25" t="s">
        <v>1427</v>
      </c>
    </row>
    <row r="209" spans="1:17" ht="25.5">
      <c r="A209" s="24" t="e">
        <f ca="1">MATCH(B209,UNIQUE($B$2:$B$1010),0)-1 &amp; ", " &amp; COUNTIF($B$2:B209,B209)-1</f>
        <v>#NAME?</v>
      </c>
      <c r="B209" s="24" t="s">
        <v>922</v>
      </c>
      <c r="C209" s="24">
        <v>87</v>
      </c>
      <c r="D209" s="25" t="s">
        <v>498</v>
      </c>
      <c r="E209" s="25"/>
      <c r="F209" s="25" t="str">
        <f t="shared" si="0"/>
        <v>DEWGONG</v>
      </c>
      <c r="G209" s="25" t="s">
        <v>1433</v>
      </c>
      <c r="H209" s="25" t="s">
        <v>1434</v>
      </c>
      <c r="I209" s="25" t="s">
        <v>1435</v>
      </c>
      <c r="J209" s="25" t="s">
        <v>1436</v>
      </c>
      <c r="K209" s="25" t="s">
        <v>1434</v>
      </c>
      <c r="L209" s="25" t="s">
        <v>1434</v>
      </c>
      <c r="M209" s="25" t="s">
        <v>1434</v>
      </c>
      <c r="N209" s="25" t="s">
        <v>1437</v>
      </c>
      <c r="O209" s="25" t="s">
        <v>1438</v>
      </c>
      <c r="P209" s="25" t="s">
        <v>1439</v>
      </c>
      <c r="Q209" s="25" t="s">
        <v>1434</v>
      </c>
    </row>
    <row r="210" spans="1:17" ht="25.5">
      <c r="A210" s="24" t="e">
        <f ca="1">MATCH(B210,UNIQUE($B$2:$B$1010),0)-1 &amp; ", " &amp; COUNTIF($B$2:B210,B210)-1</f>
        <v>#NAME?</v>
      </c>
      <c r="B210" s="24" t="s">
        <v>922</v>
      </c>
      <c r="C210" s="24">
        <v>88</v>
      </c>
      <c r="D210" s="25" t="s">
        <v>498</v>
      </c>
      <c r="E210" s="25"/>
      <c r="F210" s="25" t="str">
        <f t="shared" si="0"/>
        <v>GRIMER</v>
      </c>
      <c r="G210" s="25" t="s">
        <v>1440</v>
      </c>
      <c r="H210" s="25" t="s">
        <v>1441</v>
      </c>
      <c r="I210" s="25" t="s">
        <v>1442</v>
      </c>
      <c r="J210" s="25" t="s">
        <v>1443</v>
      </c>
      <c r="K210" s="25" t="s">
        <v>1441</v>
      </c>
      <c r="L210" s="25" t="s">
        <v>1441</v>
      </c>
      <c r="M210" s="25" t="s">
        <v>1441</v>
      </c>
      <c r="N210" s="25" t="s">
        <v>1444</v>
      </c>
      <c r="O210" s="25" t="s">
        <v>1445</v>
      </c>
      <c r="P210" s="25" t="s">
        <v>1445</v>
      </c>
      <c r="Q210" s="25" t="s">
        <v>1441</v>
      </c>
    </row>
    <row r="211" spans="1:17" ht="25.5">
      <c r="A211" s="24" t="e">
        <f ca="1">MATCH(B211,UNIQUE($B$2:$B$1010),0)-1 &amp; ", " &amp; COUNTIF($B$2:B211,B211)-1</f>
        <v>#NAME?</v>
      </c>
      <c r="B211" s="24" t="s">
        <v>922</v>
      </c>
      <c r="C211" s="24">
        <v>89</v>
      </c>
      <c r="D211" s="25" t="s">
        <v>498</v>
      </c>
      <c r="E211" s="25"/>
      <c r="F211" s="25" t="str">
        <f t="shared" si="0"/>
        <v>MUK</v>
      </c>
      <c r="G211" s="25" t="s">
        <v>1446</v>
      </c>
      <c r="H211" s="25" t="s">
        <v>1447</v>
      </c>
      <c r="I211" s="25" t="s">
        <v>1448</v>
      </c>
      <c r="J211" s="25" t="s">
        <v>1449</v>
      </c>
      <c r="K211" s="25" t="s">
        <v>1447</v>
      </c>
      <c r="L211" s="25" t="s">
        <v>1447</v>
      </c>
      <c r="M211" s="25" t="s">
        <v>1447</v>
      </c>
      <c r="N211" s="25" t="s">
        <v>1450</v>
      </c>
      <c r="O211" s="25" t="s">
        <v>1451</v>
      </c>
      <c r="P211" s="25" t="s">
        <v>1451</v>
      </c>
      <c r="Q211" s="25" t="s">
        <v>1447</v>
      </c>
    </row>
    <row r="212" spans="1:17" ht="25.5">
      <c r="A212" s="24" t="e">
        <f ca="1">MATCH(B212,UNIQUE($B$2:$B$1010),0)-1 &amp; ", " &amp; COUNTIF($B$2:B212,B212)-1</f>
        <v>#NAME?</v>
      </c>
      <c r="B212" s="24" t="s">
        <v>922</v>
      </c>
      <c r="C212" s="24">
        <v>90</v>
      </c>
      <c r="D212" s="25" t="s">
        <v>498</v>
      </c>
      <c r="E212" s="25"/>
      <c r="F212" s="25" t="str">
        <f t="shared" si="0"/>
        <v>SHELLDER</v>
      </c>
      <c r="G212" s="25" t="s">
        <v>1452</v>
      </c>
      <c r="H212" s="25" t="s">
        <v>1453</v>
      </c>
      <c r="I212" s="25" t="s">
        <v>1454</v>
      </c>
      <c r="J212" s="25" t="s">
        <v>1455</v>
      </c>
      <c r="K212" s="25" t="s">
        <v>1453</v>
      </c>
      <c r="L212" s="25" t="s">
        <v>1453</v>
      </c>
      <c r="M212" s="25" t="s">
        <v>1453</v>
      </c>
      <c r="N212" s="25" t="s">
        <v>1456</v>
      </c>
      <c r="O212" s="25" t="s">
        <v>1457</v>
      </c>
      <c r="P212" s="25" t="s">
        <v>1458</v>
      </c>
      <c r="Q212" s="25" t="s">
        <v>1453</v>
      </c>
    </row>
    <row r="213" spans="1:17" ht="25.5">
      <c r="A213" s="24" t="e">
        <f ca="1">MATCH(B213,UNIQUE($B$2:$B$1010),0)-1 &amp; ", " &amp; COUNTIF($B$2:B213,B213)-1</f>
        <v>#NAME?</v>
      </c>
      <c r="B213" s="24" t="s">
        <v>922</v>
      </c>
      <c r="C213" s="24">
        <v>91</v>
      </c>
      <c r="D213" s="25" t="s">
        <v>498</v>
      </c>
      <c r="E213" s="25"/>
      <c r="F213" s="25" t="str">
        <f t="shared" si="0"/>
        <v>CLOYSTER</v>
      </c>
      <c r="G213" s="25" t="s">
        <v>1459</v>
      </c>
      <c r="H213" s="25" t="s">
        <v>1460</v>
      </c>
      <c r="I213" s="25" t="s">
        <v>1461</v>
      </c>
      <c r="J213" s="25" t="s">
        <v>1462</v>
      </c>
      <c r="K213" s="25" t="s">
        <v>1460</v>
      </c>
      <c r="L213" s="25" t="s">
        <v>1460</v>
      </c>
      <c r="M213" s="25" t="s">
        <v>1460</v>
      </c>
      <c r="N213" s="25" t="s">
        <v>1463</v>
      </c>
      <c r="O213" s="25" t="s">
        <v>1464</v>
      </c>
      <c r="P213" s="25" t="s">
        <v>1465</v>
      </c>
      <c r="Q213" s="25" t="s">
        <v>1460</v>
      </c>
    </row>
    <row r="214" spans="1:17" ht="25.5">
      <c r="A214" s="24" t="e">
        <f ca="1">MATCH(B214,UNIQUE($B$2:$B$1010),0)-1 &amp; ", " &amp; COUNTIF($B$2:B214,B214)-1</f>
        <v>#NAME?</v>
      </c>
      <c r="B214" s="24" t="s">
        <v>922</v>
      </c>
      <c r="C214" s="24">
        <v>92</v>
      </c>
      <c r="D214" s="25" t="s">
        <v>498</v>
      </c>
      <c r="E214" s="25"/>
      <c r="F214" s="25" t="str">
        <f t="shared" si="0"/>
        <v>GASTLY</v>
      </c>
      <c r="G214" s="25" t="s">
        <v>1466</v>
      </c>
      <c r="H214" s="25" t="s">
        <v>1467</v>
      </c>
      <c r="I214" s="25" t="s">
        <v>1468</v>
      </c>
      <c r="J214" s="25" t="s">
        <v>1469</v>
      </c>
      <c r="K214" s="25" t="s">
        <v>1467</v>
      </c>
      <c r="L214" s="25" t="s">
        <v>1467</v>
      </c>
      <c r="M214" s="25" t="s">
        <v>1467</v>
      </c>
      <c r="N214" s="25" t="s">
        <v>1470</v>
      </c>
      <c r="O214" s="25" t="s">
        <v>1471</v>
      </c>
      <c r="P214" s="25" t="s">
        <v>1471</v>
      </c>
      <c r="Q214" s="25" t="s">
        <v>1467</v>
      </c>
    </row>
    <row r="215" spans="1:17" ht="25.5">
      <c r="A215" s="24" t="e">
        <f ca="1">MATCH(B215,UNIQUE($B$2:$B$1010),0)-1 &amp; ", " &amp; COUNTIF($B$2:B215,B215)-1</f>
        <v>#NAME?</v>
      </c>
      <c r="B215" s="24" t="s">
        <v>922</v>
      </c>
      <c r="C215" s="24">
        <v>93</v>
      </c>
      <c r="D215" s="25" t="s">
        <v>498</v>
      </c>
      <c r="E215" s="25"/>
      <c r="F215" s="25" t="str">
        <f t="shared" si="0"/>
        <v>HAUNTER</v>
      </c>
      <c r="G215" s="25" t="s">
        <v>1472</v>
      </c>
      <c r="H215" s="25" t="s">
        <v>1473</v>
      </c>
      <c r="I215" s="25" t="s">
        <v>1474</v>
      </c>
      <c r="J215" s="25" t="s">
        <v>1475</v>
      </c>
      <c r="K215" s="25" t="s">
        <v>1473</v>
      </c>
      <c r="L215" s="25" t="s">
        <v>1473</v>
      </c>
      <c r="M215" s="25" t="s">
        <v>1473</v>
      </c>
      <c r="N215" s="25" t="s">
        <v>1476</v>
      </c>
      <c r="O215" s="25" t="s">
        <v>1477</v>
      </c>
      <c r="P215" s="25" t="s">
        <v>1477</v>
      </c>
      <c r="Q215" s="25" t="s">
        <v>1473</v>
      </c>
    </row>
    <row r="216" spans="1:17" ht="25.5">
      <c r="A216" s="24" t="e">
        <f ca="1">MATCH(B216,UNIQUE($B$2:$B$1010),0)-1 &amp; ", " &amp; COUNTIF($B$2:B216,B216)-1</f>
        <v>#NAME?</v>
      </c>
      <c r="B216" s="24" t="s">
        <v>922</v>
      </c>
      <c r="C216" s="24">
        <v>94</v>
      </c>
      <c r="D216" s="25" t="s">
        <v>498</v>
      </c>
      <c r="E216" s="25"/>
      <c r="F216" s="25" t="str">
        <f t="shared" si="0"/>
        <v>GENGAR</v>
      </c>
      <c r="G216" s="25" t="s">
        <v>1478</v>
      </c>
      <c r="H216" s="25" t="s">
        <v>1479</v>
      </c>
      <c r="I216" s="25" t="s">
        <v>1480</v>
      </c>
      <c r="J216" s="25" t="s">
        <v>1479</v>
      </c>
      <c r="K216" s="25" t="s">
        <v>1479</v>
      </c>
      <c r="L216" s="25" t="s">
        <v>1479</v>
      </c>
      <c r="M216" s="25" t="s">
        <v>1479</v>
      </c>
      <c r="N216" s="25" t="s">
        <v>1481</v>
      </c>
      <c r="O216" s="25" t="s">
        <v>1482</v>
      </c>
      <c r="P216" s="25" t="s">
        <v>1482</v>
      </c>
      <c r="Q216" s="25" t="s">
        <v>1479</v>
      </c>
    </row>
    <row r="217" spans="1:17" ht="25.5">
      <c r="A217" s="24" t="e">
        <f ca="1">MATCH(B217,UNIQUE($B$2:$B$1010),0)-1 &amp; ", " &amp; COUNTIF($B$2:B217,B217)-1</f>
        <v>#NAME?</v>
      </c>
      <c r="B217" s="24" t="s">
        <v>922</v>
      </c>
      <c r="C217" s="24">
        <v>95</v>
      </c>
      <c r="D217" s="25" t="s">
        <v>498</v>
      </c>
      <c r="E217" s="25"/>
      <c r="F217" s="25" t="str">
        <f t="shared" si="0"/>
        <v>ONIX</v>
      </c>
      <c r="G217" s="25" t="s">
        <v>1483</v>
      </c>
      <c r="H217" s="25" t="s">
        <v>1484</v>
      </c>
      <c r="I217" s="25" t="s">
        <v>1484</v>
      </c>
      <c r="J217" s="25" t="s">
        <v>1484</v>
      </c>
      <c r="K217" s="25" t="s">
        <v>1484</v>
      </c>
      <c r="L217" s="25" t="s">
        <v>1484</v>
      </c>
      <c r="M217" s="25" t="s">
        <v>1484</v>
      </c>
      <c r="N217" s="25" t="s">
        <v>1485</v>
      </c>
      <c r="O217" s="25" t="s">
        <v>1486</v>
      </c>
      <c r="P217" s="25" t="s">
        <v>1486</v>
      </c>
      <c r="Q217" s="25" t="s">
        <v>1484</v>
      </c>
    </row>
    <row r="218" spans="1:17" ht="25.5">
      <c r="A218" s="24" t="e">
        <f ca="1">MATCH(B218,UNIQUE($B$2:$B$1010),0)-1 &amp; ", " &amp; COUNTIF($B$2:B218,B218)-1</f>
        <v>#NAME?</v>
      </c>
      <c r="B218" s="24" t="s">
        <v>922</v>
      </c>
      <c r="C218" s="24">
        <v>96</v>
      </c>
      <c r="D218" s="25" t="s">
        <v>498</v>
      </c>
      <c r="E218" s="25"/>
      <c r="F218" s="25" t="str">
        <f t="shared" si="0"/>
        <v>DROWZEE</v>
      </c>
      <c r="G218" s="25" t="s">
        <v>1487</v>
      </c>
      <c r="H218" s="25" t="s">
        <v>1488</v>
      </c>
      <c r="I218" s="25" t="s">
        <v>1489</v>
      </c>
      <c r="J218" s="25" t="s">
        <v>1490</v>
      </c>
      <c r="K218" s="25" t="s">
        <v>1488</v>
      </c>
      <c r="L218" s="25" t="s">
        <v>1488</v>
      </c>
      <c r="M218" s="25" t="s">
        <v>1488</v>
      </c>
      <c r="N218" s="25" t="s">
        <v>1491</v>
      </c>
      <c r="O218" s="25" t="s">
        <v>1492</v>
      </c>
      <c r="P218" s="25" t="s">
        <v>1492</v>
      </c>
      <c r="Q218" s="25" t="s">
        <v>1488</v>
      </c>
    </row>
    <row r="219" spans="1:17" ht="25.5">
      <c r="A219" s="24" t="e">
        <f ca="1">MATCH(B219,UNIQUE($B$2:$B$1010),0)-1 &amp; ", " &amp; COUNTIF($B$2:B219,B219)-1</f>
        <v>#NAME?</v>
      </c>
      <c r="B219" s="24" t="s">
        <v>922</v>
      </c>
      <c r="C219" s="24">
        <v>97</v>
      </c>
      <c r="D219" s="25" t="s">
        <v>498</v>
      </c>
      <c r="E219" s="25"/>
      <c r="F219" s="25" t="str">
        <f t="shared" si="0"/>
        <v>HYPNO</v>
      </c>
      <c r="G219" s="25" t="s">
        <v>1493</v>
      </c>
      <c r="H219" s="25" t="s">
        <v>1494</v>
      </c>
      <c r="I219" s="25" t="s">
        <v>1495</v>
      </c>
      <c r="J219" s="25" t="s">
        <v>1494</v>
      </c>
      <c r="K219" s="25" t="s">
        <v>1494</v>
      </c>
      <c r="L219" s="25" t="s">
        <v>1494</v>
      </c>
      <c r="M219" s="25" t="s">
        <v>1494</v>
      </c>
      <c r="N219" s="25" t="s">
        <v>1496</v>
      </c>
      <c r="O219" s="25" t="s">
        <v>1497</v>
      </c>
      <c r="P219" s="25" t="s">
        <v>1498</v>
      </c>
      <c r="Q219" s="25" t="s">
        <v>1494</v>
      </c>
    </row>
    <row r="220" spans="1:17" ht="25.5">
      <c r="A220" s="24" t="e">
        <f ca="1">MATCH(B220,UNIQUE($B$2:$B$1010),0)-1 &amp; ", " &amp; COUNTIF($B$2:B220,B220)-1</f>
        <v>#NAME?</v>
      </c>
      <c r="B220" s="24" t="s">
        <v>922</v>
      </c>
      <c r="C220" s="24">
        <v>98</v>
      </c>
      <c r="D220" s="25" t="s">
        <v>498</v>
      </c>
      <c r="E220" s="25"/>
      <c r="F220" s="25" t="str">
        <f t="shared" si="0"/>
        <v>KRABBY</v>
      </c>
      <c r="G220" s="25" t="s">
        <v>1499</v>
      </c>
      <c r="H220" s="25" t="s">
        <v>1500</v>
      </c>
      <c r="I220" s="25" t="s">
        <v>1500</v>
      </c>
      <c r="J220" s="25" t="s">
        <v>1500</v>
      </c>
      <c r="K220" s="25" t="s">
        <v>1500</v>
      </c>
      <c r="L220" s="25" t="s">
        <v>1500</v>
      </c>
      <c r="M220" s="25" t="s">
        <v>1500</v>
      </c>
      <c r="N220" s="25" t="s">
        <v>1501</v>
      </c>
      <c r="O220" s="25" t="s">
        <v>1502</v>
      </c>
      <c r="P220" s="25" t="s">
        <v>1503</v>
      </c>
      <c r="Q220" s="25" t="s">
        <v>1500</v>
      </c>
    </row>
    <row r="221" spans="1:17" ht="25.5">
      <c r="A221" s="24" t="e">
        <f ca="1">MATCH(B221,UNIQUE($B$2:$B$1010),0)-1 &amp; ", " &amp; COUNTIF($B$2:B221,B221)-1</f>
        <v>#NAME?</v>
      </c>
      <c r="B221" s="24" t="s">
        <v>922</v>
      </c>
      <c r="C221" s="24">
        <v>99</v>
      </c>
      <c r="D221" s="25" t="s">
        <v>498</v>
      </c>
      <c r="E221" s="25"/>
      <c r="F221" s="25" t="str">
        <f t="shared" si="0"/>
        <v>KINGLER</v>
      </c>
      <c r="G221" s="25" t="s">
        <v>1504</v>
      </c>
      <c r="H221" s="25" t="s">
        <v>1505</v>
      </c>
      <c r="I221" s="25" t="s">
        <v>1506</v>
      </c>
      <c r="J221" s="25" t="s">
        <v>1505</v>
      </c>
      <c r="K221" s="25" t="s">
        <v>1505</v>
      </c>
      <c r="L221" s="25" t="s">
        <v>1505</v>
      </c>
      <c r="M221" s="25" t="s">
        <v>1505</v>
      </c>
      <c r="N221" s="25" t="s">
        <v>1507</v>
      </c>
      <c r="O221" s="25" t="s">
        <v>1508</v>
      </c>
      <c r="P221" s="25" t="s">
        <v>1509</v>
      </c>
      <c r="Q221" s="25" t="s">
        <v>1505</v>
      </c>
    </row>
    <row r="222" spans="1:17" ht="25.5">
      <c r="A222" s="24" t="e">
        <f ca="1">MATCH(B222,UNIQUE($B$2:$B$1010),0)-1 &amp; ", " &amp; COUNTIF($B$2:B222,B222)-1</f>
        <v>#NAME?</v>
      </c>
      <c r="B222" s="24" t="s">
        <v>922</v>
      </c>
      <c r="C222" s="24">
        <v>100</v>
      </c>
      <c r="D222" s="25" t="s">
        <v>498</v>
      </c>
      <c r="E222" s="25"/>
      <c r="F222" s="25" t="str">
        <f t="shared" si="0"/>
        <v>VOLTORB</v>
      </c>
      <c r="G222" s="25" t="s">
        <v>1510</v>
      </c>
      <c r="H222" s="25" t="s">
        <v>1511</v>
      </c>
      <c r="I222" s="25" t="s">
        <v>1512</v>
      </c>
      <c r="J222" s="25" t="s">
        <v>1513</v>
      </c>
      <c r="K222" s="25" t="s">
        <v>1511</v>
      </c>
      <c r="L222" s="25" t="s">
        <v>1511</v>
      </c>
      <c r="M222" s="25" t="s">
        <v>1511</v>
      </c>
      <c r="N222" s="25" t="s">
        <v>1514</v>
      </c>
      <c r="O222" s="25" t="s">
        <v>1515</v>
      </c>
      <c r="P222" s="25" t="s">
        <v>1516</v>
      </c>
      <c r="Q222" s="25" t="s">
        <v>1511</v>
      </c>
    </row>
    <row r="223" spans="1:17" ht="25.5">
      <c r="A223" s="24" t="e">
        <f ca="1">MATCH(B223,UNIQUE($B$2:$B$1010),0)-1 &amp; ", " &amp; COUNTIF($B$2:B223,B223)-1</f>
        <v>#NAME?</v>
      </c>
      <c r="B223" s="24" t="s">
        <v>922</v>
      </c>
      <c r="C223" s="24">
        <v>101</v>
      </c>
      <c r="D223" s="25" t="s">
        <v>498</v>
      </c>
      <c r="E223" s="25"/>
      <c r="F223" s="25" t="str">
        <f t="shared" si="0"/>
        <v>ELECTRODE</v>
      </c>
      <c r="G223" s="25" t="s">
        <v>1517</v>
      </c>
      <c r="H223" s="25" t="s">
        <v>1518</v>
      </c>
      <c r="I223" s="25" t="s">
        <v>1518</v>
      </c>
      <c r="J223" s="25" t="s">
        <v>1519</v>
      </c>
      <c r="K223" s="25" t="s">
        <v>1518</v>
      </c>
      <c r="L223" s="25" t="s">
        <v>1518</v>
      </c>
      <c r="M223" s="25" t="s">
        <v>1518</v>
      </c>
      <c r="N223" s="25" t="s">
        <v>1520</v>
      </c>
      <c r="O223" s="25" t="s">
        <v>1521</v>
      </c>
      <c r="P223" s="25" t="s">
        <v>1522</v>
      </c>
      <c r="Q223" s="25" t="s">
        <v>1518</v>
      </c>
    </row>
    <row r="224" spans="1:17" ht="25.5">
      <c r="A224" s="24" t="e">
        <f ca="1">MATCH(B224,UNIQUE($B$2:$B$1010),0)-1 &amp; ", " &amp; COUNTIF($B$2:B224,B224)-1</f>
        <v>#NAME?</v>
      </c>
      <c r="B224" s="24" t="s">
        <v>922</v>
      </c>
      <c r="C224" s="24">
        <v>102</v>
      </c>
      <c r="D224" s="25" t="s">
        <v>498</v>
      </c>
      <c r="E224" s="25"/>
      <c r="F224" s="25" t="str">
        <f t="shared" si="0"/>
        <v>EXEGGCUTE</v>
      </c>
      <c r="G224" s="25" t="s">
        <v>1523</v>
      </c>
      <c r="H224" s="25" t="s">
        <v>1524</v>
      </c>
      <c r="I224" s="25" t="s">
        <v>1525</v>
      </c>
      <c r="J224" s="25" t="s">
        <v>1526</v>
      </c>
      <c r="K224" s="25" t="s">
        <v>1524</v>
      </c>
      <c r="L224" s="25" t="s">
        <v>1524</v>
      </c>
      <c r="M224" s="25" t="s">
        <v>1524</v>
      </c>
      <c r="N224" s="25" t="s">
        <v>1527</v>
      </c>
      <c r="O224" s="25" t="s">
        <v>1528</v>
      </c>
      <c r="P224" s="25" t="s">
        <v>1528</v>
      </c>
      <c r="Q224" s="25" t="s">
        <v>1524</v>
      </c>
    </row>
    <row r="225" spans="1:17" ht="25.5">
      <c r="A225" s="24" t="e">
        <f ca="1">MATCH(B225,UNIQUE($B$2:$B$1010),0)-1 &amp; ", " &amp; COUNTIF($B$2:B225,B225)-1</f>
        <v>#NAME?</v>
      </c>
      <c r="B225" s="24" t="s">
        <v>922</v>
      </c>
      <c r="C225" s="24">
        <v>103</v>
      </c>
      <c r="D225" s="25" t="s">
        <v>498</v>
      </c>
      <c r="E225" s="25"/>
      <c r="F225" s="25" t="str">
        <f t="shared" si="0"/>
        <v>EXEGGUTOR</v>
      </c>
      <c r="G225" s="25" t="s">
        <v>1529</v>
      </c>
      <c r="H225" s="25" t="s">
        <v>1530</v>
      </c>
      <c r="I225" s="25" t="s">
        <v>1531</v>
      </c>
      <c r="J225" s="25" t="s">
        <v>1532</v>
      </c>
      <c r="K225" s="25" t="s">
        <v>1530</v>
      </c>
      <c r="L225" s="25" t="s">
        <v>1530</v>
      </c>
      <c r="M225" s="25" t="s">
        <v>1530</v>
      </c>
      <c r="N225" s="25" t="s">
        <v>1533</v>
      </c>
      <c r="O225" s="25" t="s">
        <v>1534</v>
      </c>
      <c r="P225" s="25" t="s">
        <v>1535</v>
      </c>
      <c r="Q225" s="25" t="s">
        <v>1530</v>
      </c>
    </row>
    <row r="226" spans="1:17" ht="25.5">
      <c r="A226" s="24" t="e">
        <f ca="1">MATCH(B226,UNIQUE($B$2:$B$1010),0)-1 &amp; ", " &amp; COUNTIF($B$2:B226,B226)-1</f>
        <v>#NAME?</v>
      </c>
      <c r="B226" s="24" t="s">
        <v>922</v>
      </c>
      <c r="C226" s="24">
        <v>104</v>
      </c>
      <c r="D226" s="25" t="s">
        <v>498</v>
      </c>
      <c r="E226" s="25"/>
      <c r="F226" s="25" t="str">
        <f t="shared" si="0"/>
        <v>CUBONE</v>
      </c>
      <c r="G226" s="25" t="s">
        <v>1536</v>
      </c>
      <c r="H226" s="25" t="s">
        <v>1537</v>
      </c>
      <c r="I226" s="25" t="s">
        <v>1538</v>
      </c>
      <c r="J226" s="25" t="s">
        <v>1539</v>
      </c>
      <c r="K226" s="25" t="s">
        <v>1537</v>
      </c>
      <c r="L226" s="25" t="s">
        <v>1537</v>
      </c>
      <c r="M226" s="25" t="s">
        <v>1537</v>
      </c>
      <c r="N226" s="25" t="s">
        <v>1540</v>
      </c>
      <c r="O226" s="25" t="s">
        <v>1541</v>
      </c>
      <c r="P226" s="25" t="s">
        <v>1541</v>
      </c>
      <c r="Q226" s="25" t="s">
        <v>1537</v>
      </c>
    </row>
    <row r="227" spans="1:17" ht="25.5">
      <c r="A227" s="24" t="e">
        <f ca="1">MATCH(B227,UNIQUE($B$2:$B$1010),0)-1 &amp; ", " &amp; COUNTIF($B$2:B227,B227)-1</f>
        <v>#NAME?</v>
      </c>
      <c r="B227" s="24" t="s">
        <v>922</v>
      </c>
      <c r="C227" s="24">
        <v>105</v>
      </c>
      <c r="D227" s="25" t="s">
        <v>498</v>
      </c>
      <c r="E227" s="25"/>
      <c r="F227" s="25" t="str">
        <f t="shared" si="0"/>
        <v>MAROWAK</v>
      </c>
      <c r="G227" s="25" t="s">
        <v>1542</v>
      </c>
      <c r="H227" s="25" t="s">
        <v>1543</v>
      </c>
      <c r="I227" s="25" t="s">
        <v>1544</v>
      </c>
      <c r="J227" s="25" t="s">
        <v>1545</v>
      </c>
      <c r="K227" s="25" t="s">
        <v>1543</v>
      </c>
      <c r="L227" s="25" t="s">
        <v>1543</v>
      </c>
      <c r="M227" s="25" t="s">
        <v>1543</v>
      </c>
      <c r="N227" s="25" t="s">
        <v>1546</v>
      </c>
      <c r="O227" s="25" t="s">
        <v>1547</v>
      </c>
      <c r="P227" s="25" t="s">
        <v>1547</v>
      </c>
      <c r="Q227" s="25" t="s">
        <v>1543</v>
      </c>
    </row>
    <row r="228" spans="1:17" ht="25.5">
      <c r="A228" s="24" t="e">
        <f ca="1">MATCH(B228,UNIQUE($B$2:$B$1010),0)-1 &amp; ", " &amp; COUNTIF($B$2:B228,B228)-1</f>
        <v>#NAME?</v>
      </c>
      <c r="B228" s="24" t="s">
        <v>922</v>
      </c>
      <c r="C228" s="24">
        <v>106</v>
      </c>
      <c r="D228" s="25" t="s">
        <v>498</v>
      </c>
      <c r="E228" s="25"/>
      <c r="F228" s="25" t="str">
        <f t="shared" si="0"/>
        <v>HITMONLEE</v>
      </c>
      <c r="G228" s="25" t="s">
        <v>1548</v>
      </c>
      <c r="H228" s="25" t="s">
        <v>1549</v>
      </c>
      <c r="I228" s="25" t="s">
        <v>1550</v>
      </c>
      <c r="J228" s="25" t="s">
        <v>1550</v>
      </c>
      <c r="K228" s="25" t="s">
        <v>1549</v>
      </c>
      <c r="L228" s="25" t="s">
        <v>1549</v>
      </c>
      <c r="M228" s="25" t="s">
        <v>1549</v>
      </c>
      <c r="N228" s="25" t="s">
        <v>1551</v>
      </c>
      <c r="O228" s="25" t="s">
        <v>1552</v>
      </c>
      <c r="P228" s="25" t="s">
        <v>1553</v>
      </c>
      <c r="Q228" s="25" t="s">
        <v>1549</v>
      </c>
    </row>
    <row r="229" spans="1:17" ht="25.5">
      <c r="A229" s="24" t="e">
        <f ca="1">MATCH(B229,UNIQUE($B$2:$B$1010),0)-1 &amp; ", " &amp; COUNTIF($B$2:B229,B229)-1</f>
        <v>#NAME?</v>
      </c>
      <c r="B229" s="24" t="s">
        <v>922</v>
      </c>
      <c r="C229" s="24">
        <v>107</v>
      </c>
      <c r="D229" s="25" t="s">
        <v>498</v>
      </c>
      <c r="E229" s="25"/>
      <c r="F229" s="25" t="str">
        <f t="shared" si="0"/>
        <v>HITMONCHAN</v>
      </c>
      <c r="G229" s="25" t="s">
        <v>1554</v>
      </c>
      <c r="H229" s="25" t="s">
        <v>1555</v>
      </c>
      <c r="I229" s="25" t="s">
        <v>1556</v>
      </c>
      <c r="J229" s="25" t="s">
        <v>1557</v>
      </c>
      <c r="K229" s="25" t="s">
        <v>1555</v>
      </c>
      <c r="L229" s="25" t="s">
        <v>1555</v>
      </c>
      <c r="M229" s="25" t="s">
        <v>1555</v>
      </c>
      <c r="N229" s="25" t="s">
        <v>1558</v>
      </c>
      <c r="O229" s="25" t="s">
        <v>1559</v>
      </c>
      <c r="P229" s="25" t="s">
        <v>1559</v>
      </c>
      <c r="Q229" s="25" t="s">
        <v>1555</v>
      </c>
    </row>
    <row r="230" spans="1:17" ht="25.5">
      <c r="A230" s="24" t="e">
        <f ca="1">MATCH(B230,UNIQUE($B$2:$B$1010),0)-1 &amp; ", " &amp; COUNTIF($B$2:B230,B230)-1</f>
        <v>#NAME?</v>
      </c>
      <c r="B230" s="24" t="s">
        <v>922</v>
      </c>
      <c r="C230" s="24">
        <v>108</v>
      </c>
      <c r="D230" s="25" t="s">
        <v>498</v>
      </c>
      <c r="E230" s="25"/>
      <c r="F230" s="25" t="str">
        <f t="shared" si="0"/>
        <v>LICKITUNG</v>
      </c>
      <c r="G230" s="25" t="s">
        <v>1560</v>
      </c>
      <c r="H230" s="25" t="s">
        <v>1561</v>
      </c>
      <c r="I230" s="25" t="s">
        <v>1562</v>
      </c>
      <c r="J230" s="25" t="s">
        <v>1563</v>
      </c>
      <c r="K230" s="25" t="s">
        <v>1561</v>
      </c>
      <c r="L230" s="25" t="s">
        <v>1561</v>
      </c>
      <c r="M230" s="25" t="s">
        <v>1561</v>
      </c>
      <c r="N230" s="25" t="s">
        <v>1564</v>
      </c>
      <c r="O230" s="25" t="s">
        <v>1565</v>
      </c>
      <c r="P230" s="25" t="s">
        <v>1566</v>
      </c>
      <c r="Q230" s="25" t="s">
        <v>1561</v>
      </c>
    </row>
    <row r="231" spans="1:17" ht="25.5">
      <c r="A231" s="24" t="e">
        <f ca="1">MATCH(B231,UNIQUE($B$2:$B$1010),0)-1 &amp; ", " &amp; COUNTIF($B$2:B231,B231)-1</f>
        <v>#NAME?</v>
      </c>
      <c r="B231" s="24" t="s">
        <v>922</v>
      </c>
      <c r="C231" s="24">
        <v>109</v>
      </c>
      <c r="D231" s="25" t="s">
        <v>498</v>
      </c>
      <c r="E231" s="25"/>
      <c r="F231" s="25" t="str">
        <f t="shared" si="0"/>
        <v>KOFFING</v>
      </c>
      <c r="G231" s="25" t="s">
        <v>1567</v>
      </c>
      <c r="H231" s="25" t="s">
        <v>1568</v>
      </c>
      <c r="I231" s="25" t="s">
        <v>1569</v>
      </c>
      <c r="J231" s="25" t="s">
        <v>1570</v>
      </c>
      <c r="K231" s="25" t="s">
        <v>1568</v>
      </c>
      <c r="L231" s="25" t="s">
        <v>1568</v>
      </c>
      <c r="M231" s="25" t="s">
        <v>1568</v>
      </c>
      <c r="N231" s="25" t="s">
        <v>1571</v>
      </c>
      <c r="O231" s="25" t="s">
        <v>1572</v>
      </c>
      <c r="P231" s="25" t="s">
        <v>1573</v>
      </c>
      <c r="Q231" s="25" t="s">
        <v>1568</v>
      </c>
    </row>
    <row r="232" spans="1:17" ht="25.5">
      <c r="A232" s="24" t="e">
        <f ca="1">MATCH(B232,UNIQUE($B$2:$B$1010),0)-1 &amp; ", " &amp; COUNTIF($B$2:B232,B232)-1</f>
        <v>#NAME?</v>
      </c>
      <c r="B232" s="24" t="s">
        <v>922</v>
      </c>
      <c r="C232" s="24">
        <v>110</v>
      </c>
      <c r="D232" s="25" t="s">
        <v>498</v>
      </c>
      <c r="E232" s="25"/>
      <c r="F232" s="25" t="str">
        <f t="shared" si="0"/>
        <v>WEEZING</v>
      </c>
      <c r="G232" s="25" t="s">
        <v>1574</v>
      </c>
      <c r="H232" s="25" t="s">
        <v>1575</v>
      </c>
      <c r="I232" s="25" t="s">
        <v>1576</v>
      </c>
      <c r="J232" s="25" t="s">
        <v>1577</v>
      </c>
      <c r="K232" s="25" t="s">
        <v>1575</v>
      </c>
      <c r="L232" s="25" t="s">
        <v>1575</v>
      </c>
      <c r="M232" s="25" t="s">
        <v>1575</v>
      </c>
      <c r="N232" s="25" t="s">
        <v>1578</v>
      </c>
      <c r="O232" s="25" t="s">
        <v>1579</v>
      </c>
      <c r="P232" s="25" t="s">
        <v>1580</v>
      </c>
      <c r="Q232" s="25" t="s">
        <v>1575</v>
      </c>
    </row>
    <row r="233" spans="1:17" ht="25.5">
      <c r="A233" s="24" t="e">
        <f ca="1">MATCH(B233,UNIQUE($B$2:$B$1010),0)-1 &amp; ", " &amp; COUNTIF($B$2:B233,B233)-1</f>
        <v>#NAME?</v>
      </c>
      <c r="B233" s="24" t="s">
        <v>922</v>
      </c>
      <c r="C233" s="24">
        <v>111</v>
      </c>
      <c r="D233" s="25" t="s">
        <v>498</v>
      </c>
      <c r="E233" s="25"/>
      <c r="F233" s="25" t="str">
        <f t="shared" si="0"/>
        <v>RHYHORN</v>
      </c>
      <c r="G233" s="25" t="s">
        <v>1581</v>
      </c>
      <c r="H233" s="25" t="s">
        <v>1582</v>
      </c>
      <c r="I233" s="25" t="s">
        <v>1583</v>
      </c>
      <c r="J233" s="25" t="s">
        <v>1584</v>
      </c>
      <c r="K233" s="25" t="s">
        <v>1582</v>
      </c>
      <c r="L233" s="25" t="s">
        <v>1582</v>
      </c>
      <c r="M233" s="25" t="s">
        <v>1582</v>
      </c>
      <c r="N233" s="25" t="s">
        <v>1585</v>
      </c>
      <c r="O233" s="25" t="s">
        <v>1586</v>
      </c>
      <c r="P233" s="25" t="s">
        <v>1587</v>
      </c>
      <c r="Q233" s="25" t="s">
        <v>1582</v>
      </c>
    </row>
    <row r="234" spans="1:17" ht="25.5">
      <c r="A234" s="24" t="e">
        <f ca="1">MATCH(B234,UNIQUE($B$2:$B$1010),0)-1 &amp; ", " &amp; COUNTIF($B$2:B234,B234)-1</f>
        <v>#NAME?</v>
      </c>
      <c r="B234" s="24" t="s">
        <v>922</v>
      </c>
      <c r="C234" s="24">
        <v>112</v>
      </c>
      <c r="D234" s="25" t="s">
        <v>498</v>
      </c>
      <c r="E234" s="25"/>
      <c r="F234" s="25" t="str">
        <f t="shared" si="0"/>
        <v>RHYDON</v>
      </c>
      <c r="G234" s="25" t="s">
        <v>1588</v>
      </c>
      <c r="H234" s="25" t="s">
        <v>1589</v>
      </c>
      <c r="I234" s="25" t="s">
        <v>1590</v>
      </c>
      <c r="J234" s="25" t="s">
        <v>1591</v>
      </c>
      <c r="K234" s="25" t="s">
        <v>1589</v>
      </c>
      <c r="L234" s="25" t="s">
        <v>1589</v>
      </c>
      <c r="M234" s="25" t="s">
        <v>1589</v>
      </c>
      <c r="N234" s="25" t="s">
        <v>1592</v>
      </c>
      <c r="O234" s="25" t="s">
        <v>1593</v>
      </c>
      <c r="P234" s="25" t="s">
        <v>1594</v>
      </c>
      <c r="Q234" s="25" t="s">
        <v>1589</v>
      </c>
    </row>
    <row r="235" spans="1:17" ht="25.5">
      <c r="A235" s="24" t="e">
        <f ca="1">MATCH(B235,UNIQUE($B$2:$B$1010),0)-1 &amp; ", " &amp; COUNTIF($B$2:B235,B235)-1</f>
        <v>#NAME?</v>
      </c>
      <c r="B235" s="24" t="s">
        <v>922</v>
      </c>
      <c r="C235" s="24">
        <v>113</v>
      </c>
      <c r="D235" s="25" t="s">
        <v>498</v>
      </c>
      <c r="E235" s="25"/>
      <c r="F235" s="25" t="str">
        <f t="shared" si="0"/>
        <v>CHANSEY</v>
      </c>
      <c r="G235" s="25" t="s">
        <v>1595</v>
      </c>
      <c r="H235" s="25" t="s">
        <v>1596</v>
      </c>
      <c r="I235" s="25" t="s">
        <v>1597</v>
      </c>
      <c r="J235" s="25" t="s">
        <v>1598</v>
      </c>
      <c r="K235" s="25" t="s">
        <v>1596</v>
      </c>
      <c r="L235" s="25" t="s">
        <v>1596</v>
      </c>
      <c r="M235" s="25" t="s">
        <v>1596</v>
      </c>
      <c r="N235" s="25" t="s">
        <v>1599</v>
      </c>
      <c r="O235" s="25" t="s">
        <v>1600</v>
      </c>
      <c r="P235" s="25" t="s">
        <v>1600</v>
      </c>
      <c r="Q235" s="25" t="s">
        <v>1596</v>
      </c>
    </row>
    <row r="236" spans="1:17" ht="25.5">
      <c r="A236" s="24" t="e">
        <f ca="1">MATCH(B236,UNIQUE($B$2:$B$1010),0)-1 &amp; ", " &amp; COUNTIF($B$2:B236,B236)-1</f>
        <v>#NAME?</v>
      </c>
      <c r="B236" s="24" t="s">
        <v>922</v>
      </c>
      <c r="C236" s="24">
        <v>114</v>
      </c>
      <c r="D236" s="25" t="s">
        <v>498</v>
      </c>
      <c r="E236" s="25"/>
      <c r="F236" s="25" t="str">
        <f t="shared" si="0"/>
        <v>TANGELA</v>
      </c>
      <c r="G236" s="25" t="s">
        <v>1601</v>
      </c>
      <c r="H236" s="25" t="s">
        <v>1602</v>
      </c>
      <c r="I236" s="25" t="s">
        <v>1603</v>
      </c>
      <c r="J236" s="25" t="s">
        <v>1602</v>
      </c>
      <c r="K236" s="25" t="s">
        <v>1602</v>
      </c>
      <c r="L236" s="25" t="s">
        <v>1602</v>
      </c>
      <c r="M236" s="25" t="s">
        <v>1602</v>
      </c>
      <c r="N236" s="25" t="s">
        <v>1604</v>
      </c>
      <c r="O236" s="25" t="s">
        <v>1605</v>
      </c>
      <c r="P236" s="25" t="s">
        <v>1605</v>
      </c>
      <c r="Q236" s="25" t="s">
        <v>1602</v>
      </c>
    </row>
    <row r="237" spans="1:17" ht="25.5">
      <c r="A237" s="24" t="e">
        <f ca="1">MATCH(B237,UNIQUE($B$2:$B$1010),0)-1 &amp; ", " &amp; COUNTIF($B$2:B237,B237)-1</f>
        <v>#NAME?</v>
      </c>
      <c r="B237" s="24" t="s">
        <v>922</v>
      </c>
      <c r="C237" s="24">
        <v>115</v>
      </c>
      <c r="D237" s="25" t="s">
        <v>498</v>
      </c>
      <c r="E237" s="25"/>
      <c r="F237" s="25" t="str">
        <f t="shared" si="0"/>
        <v>KANGASKHAN</v>
      </c>
      <c r="G237" s="25" t="s">
        <v>1606</v>
      </c>
      <c r="H237" s="25" t="s">
        <v>1607</v>
      </c>
      <c r="I237" s="25" t="s">
        <v>1608</v>
      </c>
      <c r="J237" s="25" t="s">
        <v>1609</v>
      </c>
      <c r="K237" s="25" t="s">
        <v>1607</v>
      </c>
      <c r="L237" s="25" t="s">
        <v>1607</v>
      </c>
      <c r="M237" s="25" t="s">
        <v>1607</v>
      </c>
      <c r="N237" s="25" t="s">
        <v>1610</v>
      </c>
      <c r="O237" s="25" t="s">
        <v>1611</v>
      </c>
      <c r="P237" s="25" t="s">
        <v>1612</v>
      </c>
      <c r="Q237" s="25" t="s">
        <v>1607</v>
      </c>
    </row>
    <row r="238" spans="1:17" ht="25.5">
      <c r="A238" s="24" t="e">
        <f ca="1">MATCH(B238,UNIQUE($B$2:$B$1010),0)-1 &amp; ", " &amp; COUNTIF($B$2:B238,B238)-1</f>
        <v>#NAME?</v>
      </c>
      <c r="B238" s="24" t="s">
        <v>922</v>
      </c>
      <c r="C238" s="24">
        <v>116</v>
      </c>
      <c r="D238" s="25" t="s">
        <v>498</v>
      </c>
      <c r="E238" s="25"/>
      <c r="F238" s="25" t="str">
        <f t="shared" si="0"/>
        <v>HORSEA</v>
      </c>
      <c r="G238" s="25" t="s">
        <v>1613</v>
      </c>
      <c r="H238" s="25" t="s">
        <v>1614</v>
      </c>
      <c r="I238" s="25" t="s">
        <v>1615</v>
      </c>
      <c r="J238" s="25" t="s">
        <v>1616</v>
      </c>
      <c r="K238" s="25" t="s">
        <v>1614</v>
      </c>
      <c r="L238" s="25" t="s">
        <v>1614</v>
      </c>
      <c r="M238" s="25" t="s">
        <v>1614</v>
      </c>
      <c r="N238" s="25" t="s">
        <v>1617</v>
      </c>
      <c r="O238" s="25" t="s">
        <v>1618</v>
      </c>
      <c r="P238" s="25" t="s">
        <v>1619</v>
      </c>
      <c r="Q238" s="25" t="s">
        <v>1614</v>
      </c>
    </row>
    <row r="239" spans="1:17" ht="25.5">
      <c r="A239" s="24" t="e">
        <f ca="1">MATCH(B239,UNIQUE($B$2:$B$1010),0)-1 &amp; ", " &amp; COUNTIF($B$2:B239,B239)-1</f>
        <v>#NAME?</v>
      </c>
      <c r="B239" s="24" t="s">
        <v>922</v>
      </c>
      <c r="C239" s="24">
        <v>117</v>
      </c>
      <c r="D239" s="25" t="s">
        <v>498</v>
      </c>
      <c r="E239" s="25"/>
      <c r="F239" s="25" t="str">
        <f t="shared" si="0"/>
        <v>SEADRA</v>
      </c>
      <c r="G239" s="25" t="s">
        <v>1620</v>
      </c>
      <c r="H239" s="25" t="s">
        <v>1621</v>
      </c>
      <c r="I239" s="25" t="s">
        <v>1622</v>
      </c>
      <c r="J239" s="25" t="s">
        <v>1623</v>
      </c>
      <c r="K239" s="25" t="s">
        <v>1621</v>
      </c>
      <c r="L239" s="25" t="s">
        <v>1621</v>
      </c>
      <c r="M239" s="25" t="s">
        <v>1621</v>
      </c>
      <c r="N239" s="25" t="s">
        <v>1624</v>
      </c>
      <c r="O239" s="25" t="s">
        <v>1625</v>
      </c>
      <c r="P239" s="25" t="s">
        <v>1626</v>
      </c>
      <c r="Q239" s="25" t="s">
        <v>1621</v>
      </c>
    </row>
    <row r="240" spans="1:17" ht="25.5">
      <c r="A240" s="24" t="e">
        <f ca="1">MATCH(B240,UNIQUE($B$2:$B$1010),0)-1 &amp; ", " &amp; COUNTIF($B$2:B240,B240)-1</f>
        <v>#NAME?</v>
      </c>
      <c r="B240" s="24" t="s">
        <v>922</v>
      </c>
      <c r="C240" s="24">
        <v>118</v>
      </c>
      <c r="D240" s="25" t="s">
        <v>498</v>
      </c>
      <c r="E240" s="25"/>
      <c r="F240" s="25" t="str">
        <f t="shared" si="0"/>
        <v>GOLDEEN</v>
      </c>
      <c r="G240" s="25" t="s">
        <v>1627</v>
      </c>
      <c r="H240" s="25" t="s">
        <v>1628</v>
      </c>
      <c r="I240" s="25" t="s">
        <v>1629</v>
      </c>
      <c r="J240" s="25" t="s">
        <v>1630</v>
      </c>
      <c r="K240" s="25" t="s">
        <v>1628</v>
      </c>
      <c r="L240" s="25" t="s">
        <v>1628</v>
      </c>
      <c r="M240" s="25" t="s">
        <v>1628</v>
      </c>
      <c r="N240" s="25" t="s">
        <v>1631</v>
      </c>
      <c r="O240" s="25" t="s">
        <v>1632</v>
      </c>
      <c r="P240" s="25" t="s">
        <v>1633</v>
      </c>
      <c r="Q240" s="25" t="s">
        <v>1628</v>
      </c>
    </row>
    <row r="241" spans="1:17" ht="25.5">
      <c r="A241" s="24" t="e">
        <f ca="1">MATCH(B241,UNIQUE($B$2:$B$1010),0)-1 &amp; ", " &amp; COUNTIF($B$2:B241,B241)-1</f>
        <v>#NAME?</v>
      </c>
      <c r="B241" s="24" t="s">
        <v>922</v>
      </c>
      <c r="C241" s="24">
        <v>119</v>
      </c>
      <c r="D241" s="25" t="s">
        <v>498</v>
      </c>
      <c r="E241" s="25"/>
      <c r="F241" s="25" t="str">
        <f t="shared" si="0"/>
        <v>SEAKING</v>
      </c>
      <c r="G241" s="25" t="s">
        <v>1634</v>
      </c>
      <c r="H241" s="25" t="s">
        <v>1635</v>
      </c>
      <c r="I241" s="25" t="s">
        <v>1636</v>
      </c>
      <c r="J241" s="25" t="s">
        <v>1637</v>
      </c>
      <c r="K241" s="25" t="s">
        <v>1635</v>
      </c>
      <c r="L241" s="25" t="s">
        <v>1635</v>
      </c>
      <c r="M241" s="25" t="s">
        <v>1635</v>
      </c>
      <c r="N241" s="25" t="s">
        <v>1638</v>
      </c>
      <c r="O241" s="25" t="s">
        <v>1639</v>
      </c>
      <c r="P241" s="25" t="s">
        <v>1640</v>
      </c>
      <c r="Q241" s="25" t="s">
        <v>1635</v>
      </c>
    </row>
    <row r="242" spans="1:17" ht="25.5">
      <c r="A242" s="24" t="e">
        <f ca="1">MATCH(B242,UNIQUE($B$2:$B$1010),0)-1 &amp; ", " &amp; COUNTIF($B$2:B242,B242)-1</f>
        <v>#NAME?</v>
      </c>
      <c r="B242" s="24" t="s">
        <v>922</v>
      </c>
      <c r="C242" s="24">
        <v>120</v>
      </c>
      <c r="D242" s="25" t="s">
        <v>498</v>
      </c>
      <c r="E242" s="25"/>
      <c r="F242" s="25" t="str">
        <f t="shared" si="0"/>
        <v>STARYU</v>
      </c>
      <c r="G242" s="25" t="s">
        <v>1641</v>
      </c>
      <c r="H242" s="25" t="s">
        <v>1642</v>
      </c>
      <c r="I242" s="25" t="s">
        <v>1643</v>
      </c>
      <c r="J242" s="25" t="s">
        <v>1644</v>
      </c>
      <c r="K242" s="25" t="s">
        <v>1642</v>
      </c>
      <c r="L242" s="25" t="s">
        <v>1642</v>
      </c>
      <c r="M242" s="25" t="s">
        <v>1642</v>
      </c>
      <c r="N242" s="25" t="s">
        <v>1645</v>
      </c>
      <c r="O242" s="25" t="s">
        <v>1646</v>
      </c>
      <c r="P242" s="25" t="s">
        <v>1646</v>
      </c>
      <c r="Q242" s="25" t="s">
        <v>1642</v>
      </c>
    </row>
    <row r="243" spans="1:17" ht="25.5">
      <c r="A243" s="24" t="e">
        <f ca="1">MATCH(B243,UNIQUE($B$2:$B$1010),0)-1 &amp; ", " &amp; COUNTIF($B$2:B243,B243)-1</f>
        <v>#NAME?</v>
      </c>
      <c r="B243" s="24" t="s">
        <v>922</v>
      </c>
      <c r="C243" s="24">
        <v>121</v>
      </c>
      <c r="D243" s="25" t="s">
        <v>498</v>
      </c>
      <c r="E243" s="25"/>
      <c r="F243" s="25" t="str">
        <f t="shared" si="0"/>
        <v>STARMIE</v>
      </c>
      <c r="G243" s="25" t="s">
        <v>1647</v>
      </c>
      <c r="H243" s="25" t="s">
        <v>1648</v>
      </c>
      <c r="I243" s="25" t="s">
        <v>1649</v>
      </c>
      <c r="J243" s="25" t="s">
        <v>1648</v>
      </c>
      <c r="K243" s="25" t="s">
        <v>1648</v>
      </c>
      <c r="L243" s="25" t="s">
        <v>1648</v>
      </c>
      <c r="M243" s="25" t="s">
        <v>1648</v>
      </c>
      <c r="N243" s="25" t="s">
        <v>1650</v>
      </c>
      <c r="O243" s="25" t="s">
        <v>1651</v>
      </c>
      <c r="P243" s="25" t="s">
        <v>1652</v>
      </c>
      <c r="Q243" s="25" t="s">
        <v>1648</v>
      </c>
    </row>
    <row r="244" spans="1:17" ht="25.5">
      <c r="A244" s="24" t="e">
        <f ca="1">MATCH(B244,UNIQUE($B$2:$B$1010),0)-1 &amp; ", " &amp; COUNTIF($B$2:B244,B244)-1</f>
        <v>#NAME?</v>
      </c>
      <c r="B244" s="24" t="s">
        <v>922</v>
      </c>
      <c r="C244" s="24">
        <v>122</v>
      </c>
      <c r="D244" s="25" t="s">
        <v>498</v>
      </c>
      <c r="E244" s="25"/>
      <c r="F244" s="25" t="str">
        <f t="shared" si="0"/>
        <v>MR. MIME</v>
      </c>
      <c r="G244" s="25" t="s">
        <v>1653</v>
      </c>
      <c r="H244" s="25" t="s">
        <v>1654</v>
      </c>
      <c r="I244" s="25" t="s">
        <v>1655</v>
      </c>
      <c r="J244" s="25" t="s">
        <v>1656</v>
      </c>
      <c r="K244" s="25" t="s">
        <v>1654</v>
      </c>
      <c r="L244" s="25" t="s">
        <v>1654</v>
      </c>
      <c r="M244" s="25" t="s">
        <v>1654</v>
      </c>
      <c r="N244" s="25" t="s">
        <v>1657</v>
      </c>
      <c r="O244" s="25" t="s">
        <v>1658</v>
      </c>
      <c r="P244" s="25" t="s">
        <v>1659</v>
      </c>
      <c r="Q244" s="25" t="s">
        <v>1654</v>
      </c>
    </row>
    <row r="245" spans="1:17" ht="25.5">
      <c r="A245" s="24" t="e">
        <f ca="1">MATCH(B245,UNIQUE($B$2:$B$1010),0)-1 &amp; ", " &amp; COUNTIF($B$2:B245,B245)-1</f>
        <v>#NAME?</v>
      </c>
      <c r="B245" s="24" t="s">
        <v>922</v>
      </c>
      <c r="C245" s="24">
        <v>123</v>
      </c>
      <c r="D245" s="25" t="s">
        <v>498</v>
      </c>
      <c r="E245" s="25"/>
      <c r="F245" s="25" t="str">
        <f t="shared" si="0"/>
        <v>SCYTHER</v>
      </c>
      <c r="G245" s="25" t="s">
        <v>1660</v>
      </c>
      <c r="H245" s="25" t="s">
        <v>1661</v>
      </c>
      <c r="I245" s="25" t="s">
        <v>1662</v>
      </c>
      <c r="J245" s="25" t="s">
        <v>1663</v>
      </c>
      <c r="K245" s="25" t="s">
        <v>1661</v>
      </c>
      <c r="L245" s="25" t="s">
        <v>1661</v>
      </c>
      <c r="M245" s="25" t="s">
        <v>1661</v>
      </c>
      <c r="N245" s="25" t="s">
        <v>1664</v>
      </c>
      <c r="O245" s="25" t="s">
        <v>1665</v>
      </c>
      <c r="P245" s="25" t="s">
        <v>1666</v>
      </c>
      <c r="Q245" s="25" t="s">
        <v>1661</v>
      </c>
    </row>
    <row r="246" spans="1:17" ht="25.5">
      <c r="A246" s="24" t="e">
        <f ca="1">MATCH(B246,UNIQUE($B$2:$B$1010),0)-1 &amp; ", " &amp; COUNTIF($B$2:B246,B246)-1</f>
        <v>#NAME?</v>
      </c>
      <c r="B246" s="24" t="s">
        <v>922</v>
      </c>
      <c r="C246" s="24">
        <v>124</v>
      </c>
      <c r="D246" s="25" t="s">
        <v>498</v>
      </c>
      <c r="E246" s="25"/>
      <c r="F246" s="25" t="str">
        <f t="shared" si="0"/>
        <v>JYNX</v>
      </c>
      <c r="G246" s="25" t="s">
        <v>1667</v>
      </c>
      <c r="H246" s="25" t="s">
        <v>1668</v>
      </c>
      <c r="I246" s="25" t="s">
        <v>1669</v>
      </c>
      <c r="J246" s="25" t="s">
        <v>1670</v>
      </c>
      <c r="K246" s="25" t="s">
        <v>1668</v>
      </c>
      <c r="L246" s="25" t="s">
        <v>1668</v>
      </c>
      <c r="M246" s="25" t="s">
        <v>1668</v>
      </c>
      <c r="N246" s="25" t="s">
        <v>1671</v>
      </c>
      <c r="O246" s="25" t="s">
        <v>1672</v>
      </c>
      <c r="P246" s="25" t="s">
        <v>1672</v>
      </c>
      <c r="Q246" s="25" t="s">
        <v>1668</v>
      </c>
    </row>
    <row r="247" spans="1:17" ht="25.5">
      <c r="A247" s="24" t="e">
        <f ca="1">MATCH(B247,UNIQUE($B$2:$B$1010),0)-1 &amp; ", " &amp; COUNTIF($B$2:B247,B247)-1</f>
        <v>#NAME?</v>
      </c>
      <c r="B247" s="24" t="s">
        <v>922</v>
      </c>
      <c r="C247" s="24">
        <v>125</v>
      </c>
      <c r="D247" s="25" t="s">
        <v>498</v>
      </c>
      <c r="E247" s="25"/>
      <c r="F247" s="25" t="str">
        <f t="shared" si="0"/>
        <v>ELECTABUZZ</v>
      </c>
      <c r="G247" s="25" t="s">
        <v>1673</v>
      </c>
      <c r="H247" s="25" t="s">
        <v>1674</v>
      </c>
      <c r="I247" s="25" t="s">
        <v>1675</v>
      </c>
      <c r="J247" s="25" t="s">
        <v>1675</v>
      </c>
      <c r="K247" s="25" t="s">
        <v>1674</v>
      </c>
      <c r="L247" s="25" t="s">
        <v>1674</v>
      </c>
      <c r="M247" s="25" t="s">
        <v>1674</v>
      </c>
      <c r="N247" s="25" t="s">
        <v>1676</v>
      </c>
      <c r="O247" s="25" t="s">
        <v>1677</v>
      </c>
      <c r="P247" s="25" t="s">
        <v>1678</v>
      </c>
      <c r="Q247" s="25" t="s">
        <v>1674</v>
      </c>
    </row>
    <row r="248" spans="1:17" ht="25.5">
      <c r="A248" s="24" t="e">
        <f ca="1">MATCH(B248,UNIQUE($B$2:$B$1010),0)-1 &amp; ", " &amp; COUNTIF($B$2:B248,B248)-1</f>
        <v>#NAME?</v>
      </c>
      <c r="B248" s="24" t="s">
        <v>922</v>
      </c>
      <c r="C248" s="24">
        <v>126</v>
      </c>
      <c r="D248" s="25" t="s">
        <v>498</v>
      </c>
      <c r="E248" s="25"/>
      <c r="F248" s="25" t="str">
        <f t="shared" si="0"/>
        <v>MAGMAR</v>
      </c>
      <c r="G248" s="25" t="s">
        <v>1679</v>
      </c>
      <c r="H248" s="25" t="s">
        <v>1680</v>
      </c>
      <c r="I248" s="25" t="s">
        <v>1680</v>
      </c>
      <c r="J248" s="25" t="s">
        <v>1680</v>
      </c>
      <c r="K248" s="25" t="s">
        <v>1680</v>
      </c>
      <c r="L248" s="25" t="s">
        <v>1680</v>
      </c>
      <c r="M248" s="25" t="s">
        <v>1680</v>
      </c>
      <c r="N248" s="25" t="s">
        <v>1681</v>
      </c>
      <c r="O248" s="25" t="s">
        <v>1682</v>
      </c>
      <c r="P248" s="25" t="s">
        <v>1683</v>
      </c>
      <c r="Q248" s="25" t="s">
        <v>1680</v>
      </c>
    </row>
    <row r="249" spans="1:17" ht="25.5">
      <c r="A249" s="24" t="e">
        <f ca="1">MATCH(B249,UNIQUE($B$2:$B$1010),0)-1 &amp; ", " &amp; COUNTIF($B$2:B249,B249)-1</f>
        <v>#NAME?</v>
      </c>
      <c r="B249" s="24" t="s">
        <v>922</v>
      </c>
      <c r="C249" s="24">
        <v>127</v>
      </c>
      <c r="D249" s="25" t="s">
        <v>498</v>
      </c>
      <c r="E249" s="25"/>
      <c r="F249" s="25" t="str">
        <f t="shared" si="0"/>
        <v>PINSIR</v>
      </c>
      <c r="G249" s="25" t="s">
        <v>1684</v>
      </c>
      <c r="H249" s="25" t="s">
        <v>1685</v>
      </c>
      <c r="I249" s="25" t="s">
        <v>1686</v>
      </c>
      <c r="J249" s="25" t="s">
        <v>1685</v>
      </c>
      <c r="K249" s="25" t="s">
        <v>1685</v>
      </c>
      <c r="L249" s="25" t="s">
        <v>1685</v>
      </c>
      <c r="M249" s="25" t="s">
        <v>1685</v>
      </c>
      <c r="N249" s="25" t="s">
        <v>1687</v>
      </c>
      <c r="O249" s="25" t="s">
        <v>1688</v>
      </c>
      <c r="P249" s="25" t="s">
        <v>1689</v>
      </c>
      <c r="Q249" s="25" t="s">
        <v>1685</v>
      </c>
    </row>
    <row r="250" spans="1:17" ht="25.5">
      <c r="A250" s="24" t="e">
        <f ca="1">MATCH(B250,UNIQUE($B$2:$B$1010),0)-1 &amp; ", " &amp; COUNTIF($B$2:B250,B250)-1</f>
        <v>#NAME?</v>
      </c>
      <c r="B250" s="24" t="s">
        <v>922</v>
      </c>
      <c r="C250" s="24">
        <v>128</v>
      </c>
      <c r="D250" s="25" t="s">
        <v>498</v>
      </c>
      <c r="E250" s="25"/>
      <c r="F250" s="25" t="str">
        <f t="shared" si="0"/>
        <v>TAUROS</v>
      </c>
      <c r="G250" s="25" t="s">
        <v>1690</v>
      </c>
      <c r="H250" s="25" t="s">
        <v>1691</v>
      </c>
      <c r="I250" s="25" t="s">
        <v>1691</v>
      </c>
      <c r="J250" s="25" t="s">
        <v>1691</v>
      </c>
      <c r="K250" s="25" t="s">
        <v>1691</v>
      </c>
      <c r="L250" s="25" t="s">
        <v>1691</v>
      </c>
      <c r="M250" s="25" t="s">
        <v>1691</v>
      </c>
      <c r="N250" s="25" t="s">
        <v>1692</v>
      </c>
      <c r="O250" s="25" t="s">
        <v>1693</v>
      </c>
      <c r="P250" s="25" t="s">
        <v>1694</v>
      </c>
      <c r="Q250" s="25" t="s">
        <v>1691</v>
      </c>
    </row>
    <row r="251" spans="1:17" ht="25.5">
      <c r="A251" s="24" t="e">
        <f ca="1">MATCH(B251,UNIQUE($B$2:$B$1010),0)-1 &amp; ", " &amp; COUNTIF($B$2:B251,B251)-1</f>
        <v>#NAME?</v>
      </c>
      <c r="B251" s="24" t="s">
        <v>922</v>
      </c>
      <c r="C251" s="24">
        <v>129</v>
      </c>
      <c r="D251" s="25" t="s">
        <v>498</v>
      </c>
      <c r="E251" s="25"/>
      <c r="F251" s="25" t="str">
        <f t="shared" si="0"/>
        <v>MAGIKARP</v>
      </c>
      <c r="G251" s="25" t="s">
        <v>1695</v>
      </c>
      <c r="H251" s="25" t="s">
        <v>1696</v>
      </c>
      <c r="I251" s="25" t="s">
        <v>1697</v>
      </c>
      <c r="J251" s="25" t="s">
        <v>1698</v>
      </c>
      <c r="K251" s="25" t="s">
        <v>1696</v>
      </c>
      <c r="L251" s="25" t="s">
        <v>1696</v>
      </c>
      <c r="M251" s="25" t="s">
        <v>1696</v>
      </c>
      <c r="N251" s="25" t="s">
        <v>1699</v>
      </c>
      <c r="O251" s="25" t="s">
        <v>1700</v>
      </c>
      <c r="P251" s="25" t="s">
        <v>1701</v>
      </c>
      <c r="Q251" s="25" t="s">
        <v>1696</v>
      </c>
    </row>
    <row r="252" spans="1:17" ht="25.5">
      <c r="A252" s="24" t="e">
        <f ca="1">MATCH(B252,UNIQUE($B$2:$B$1010),0)-1 &amp; ", " &amp; COUNTIF($B$2:B252,B252)-1</f>
        <v>#NAME?</v>
      </c>
      <c r="B252" s="24" t="s">
        <v>922</v>
      </c>
      <c r="C252" s="24">
        <v>130</v>
      </c>
      <c r="D252" s="25" t="s">
        <v>498</v>
      </c>
      <c r="E252" s="25"/>
      <c r="F252" s="25" t="str">
        <f t="shared" si="0"/>
        <v>GYARADOS</v>
      </c>
      <c r="G252" s="25" t="s">
        <v>1702</v>
      </c>
      <c r="H252" s="25" t="s">
        <v>1703</v>
      </c>
      <c r="I252" s="25" t="s">
        <v>1704</v>
      </c>
      <c r="J252" s="25" t="s">
        <v>1705</v>
      </c>
      <c r="K252" s="25" t="s">
        <v>1703</v>
      </c>
      <c r="L252" s="25" t="s">
        <v>1703</v>
      </c>
      <c r="M252" s="25" t="s">
        <v>1703</v>
      </c>
      <c r="N252" s="25" t="s">
        <v>1706</v>
      </c>
      <c r="O252" s="25" t="s">
        <v>1707</v>
      </c>
      <c r="P252" s="25" t="s">
        <v>1708</v>
      </c>
      <c r="Q252" s="25" t="s">
        <v>1703</v>
      </c>
    </row>
    <row r="253" spans="1:17" ht="25.5">
      <c r="A253" s="24" t="e">
        <f ca="1">MATCH(B253,UNIQUE($B$2:$B$1010),0)-1 &amp; ", " &amp; COUNTIF($B$2:B253,B253)-1</f>
        <v>#NAME?</v>
      </c>
      <c r="B253" s="24" t="s">
        <v>922</v>
      </c>
      <c r="C253" s="24">
        <v>131</v>
      </c>
      <c r="D253" s="25" t="s">
        <v>498</v>
      </c>
      <c r="E253" s="25"/>
      <c r="F253" s="25" t="str">
        <f t="shared" si="0"/>
        <v>LAPRAS</v>
      </c>
      <c r="G253" s="25" t="s">
        <v>1709</v>
      </c>
      <c r="H253" s="25" t="s">
        <v>1710</v>
      </c>
      <c r="I253" s="25" t="s">
        <v>1711</v>
      </c>
      <c r="J253" s="25" t="s">
        <v>1710</v>
      </c>
      <c r="K253" s="25" t="s">
        <v>1710</v>
      </c>
      <c r="L253" s="25" t="s">
        <v>1710</v>
      </c>
      <c r="M253" s="25" t="s">
        <v>1710</v>
      </c>
      <c r="N253" s="25" t="s">
        <v>1712</v>
      </c>
      <c r="O253" s="25" t="s">
        <v>1713</v>
      </c>
      <c r="P253" s="25" t="s">
        <v>1713</v>
      </c>
      <c r="Q253" s="25" t="s">
        <v>1710</v>
      </c>
    </row>
    <row r="254" spans="1:17" ht="25.5">
      <c r="A254" s="24" t="e">
        <f ca="1">MATCH(B254,UNIQUE($B$2:$B$1010),0)-1 &amp; ", " &amp; COUNTIF($B$2:B254,B254)-1</f>
        <v>#NAME?</v>
      </c>
      <c r="B254" s="24" t="s">
        <v>922</v>
      </c>
      <c r="C254" s="24">
        <v>132</v>
      </c>
      <c r="D254" s="25" t="s">
        <v>498</v>
      </c>
      <c r="E254" s="25"/>
      <c r="F254" s="25" t="str">
        <f t="shared" si="0"/>
        <v>DITTO</v>
      </c>
      <c r="G254" s="25" t="s">
        <v>1714</v>
      </c>
      <c r="H254" s="25" t="s">
        <v>1715</v>
      </c>
      <c r="I254" s="25" t="s">
        <v>1716</v>
      </c>
      <c r="J254" s="25" t="s">
        <v>1715</v>
      </c>
      <c r="K254" s="25" t="s">
        <v>1715</v>
      </c>
      <c r="L254" s="25" t="s">
        <v>1715</v>
      </c>
      <c r="M254" s="25" t="s">
        <v>1715</v>
      </c>
      <c r="N254" s="25" t="s">
        <v>1717</v>
      </c>
      <c r="O254" s="25" t="s">
        <v>1718</v>
      </c>
      <c r="P254" s="25" t="s">
        <v>1719</v>
      </c>
      <c r="Q254" s="25" t="s">
        <v>1715</v>
      </c>
    </row>
    <row r="255" spans="1:17" ht="25.5">
      <c r="A255" s="24" t="e">
        <f ca="1">MATCH(B255,UNIQUE($B$2:$B$1010),0)-1 &amp; ", " &amp; COUNTIF($B$2:B255,B255)-1</f>
        <v>#NAME?</v>
      </c>
      <c r="B255" s="24" t="s">
        <v>922</v>
      </c>
      <c r="C255" s="24">
        <v>133</v>
      </c>
      <c r="D255" s="25" t="s">
        <v>498</v>
      </c>
      <c r="E255" s="25"/>
      <c r="F255" s="25" t="str">
        <f t="shared" si="0"/>
        <v>EEVEE</v>
      </c>
      <c r="G255" s="25" t="s">
        <v>1720</v>
      </c>
      <c r="H255" s="25" t="s">
        <v>1721</v>
      </c>
      <c r="I255" s="25" t="s">
        <v>1722</v>
      </c>
      <c r="J255" s="25" t="s">
        <v>1722</v>
      </c>
      <c r="K255" s="25" t="s">
        <v>1721</v>
      </c>
      <c r="L255" s="25" t="s">
        <v>1721</v>
      </c>
      <c r="M255" s="25" t="s">
        <v>1721</v>
      </c>
      <c r="N255" s="25" t="s">
        <v>1723</v>
      </c>
      <c r="O255" s="25" t="s">
        <v>1724</v>
      </c>
      <c r="P255" s="25" t="s">
        <v>1724</v>
      </c>
      <c r="Q255" s="25" t="s">
        <v>1721</v>
      </c>
    </row>
    <row r="256" spans="1:17" ht="25.5">
      <c r="A256" s="24" t="e">
        <f ca="1">MATCH(B256,UNIQUE($B$2:$B$1010),0)-1 &amp; ", " &amp; COUNTIF($B$2:B256,B256)-1</f>
        <v>#NAME?</v>
      </c>
      <c r="B256" s="24" t="s">
        <v>922</v>
      </c>
      <c r="C256" s="24">
        <v>134</v>
      </c>
      <c r="D256" s="25" t="s">
        <v>498</v>
      </c>
      <c r="E256" s="25"/>
      <c r="F256" s="25" t="str">
        <f t="shared" si="0"/>
        <v>VAPOREON</v>
      </c>
      <c r="G256" s="25" t="s">
        <v>1725</v>
      </c>
      <c r="H256" s="25" t="s">
        <v>1726</v>
      </c>
      <c r="I256" s="25" t="s">
        <v>1727</v>
      </c>
      <c r="J256" s="25" t="s">
        <v>1728</v>
      </c>
      <c r="K256" s="25" t="s">
        <v>1726</v>
      </c>
      <c r="L256" s="25" t="s">
        <v>1726</v>
      </c>
      <c r="M256" s="25" t="s">
        <v>1726</v>
      </c>
      <c r="N256" s="25" t="s">
        <v>1729</v>
      </c>
      <c r="O256" s="25" t="s">
        <v>1730</v>
      </c>
      <c r="P256" s="25" t="s">
        <v>1730</v>
      </c>
      <c r="Q256" s="25" t="s">
        <v>1726</v>
      </c>
    </row>
    <row r="257" spans="1:17" ht="25.5">
      <c r="A257" s="24" t="e">
        <f ca="1">MATCH(B257,UNIQUE($B$2:$B$1010),0)-1 &amp; ", " &amp; COUNTIF($B$2:B257,B257)-1</f>
        <v>#NAME?</v>
      </c>
      <c r="B257" s="24" t="s">
        <v>922</v>
      </c>
      <c r="C257" s="24">
        <v>135</v>
      </c>
      <c r="D257" s="25" t="s">
        <v>498</v>
      </c>
      <c r="E257" s="25"/>
      <c r="F257" s="25" t="str">
        <f t="shared" si="0"/>
        <v>JOLTEON</v>
      </c>
      <c r="G257" s="25" t="s">
        <v>1731</v>
      </c>
      <c r="H257" s="25" t="s">
        <v>1732</v>
      </c>
      <c r="I257" s="25" t="s">
        <v>1733</v>
      </c>
      <c r="J257" s="25" t="s">
        <v>1734</v>
      </c>
      <c r="K257" s="25" t="s">
        <v>1732</v>
      </c>
      <c r="L257" s="25" t="s">
        <v>1732</v>
      </c>
      <c r="M257" s="25" t="s">
        <v>1732</v>
      </c>
      <c r="N257" s="25" t="s">
        <v>1735</v>
      </c>
      <c r="O257" s="25" t="s">
        <v>1736</v>
      </c>
      <c r="P257" s="25" t="s">
        <v>1736</v>
      </c>
      <c r="Q257" s="25" t="s">
        <v>1732</v>
      </c>
    </row>
    <row r="258" spans="1:17" ht="25.5">
      <c r="A258" s="24" t="e">
        <f ca="1">MATCH(B258,UNIQUE($B$2:$B$1010),0)-1 &amp; ", " &amp; COUNTIF($B$2:B258,B258)-1</f>
        <v>#NAME?</v>
      </c>
      <c r="B258" s="24" t="s">
        <v>922</v>
      </c>
      <c r="C258" s="24">
        <v>136</v>
      </c>
      <c r="D258" s="25" t="s">
        <v>498</v>
      </c>
      <c r="E258" s="25"/>
      <c r="F258" s="25" t="str">
        <f t="shared" si="0"/>
        <v>FLAREON</v>
      </c>
      <c r="G258" s="25" t="s">
        <v>1737</v>
      </c>
      <c r="H258" s="25" t="s">
        <v>1738</v>
      </c>
      <c r="I258" s="25" t="s">
        <v>1739</v>
      </c>
      <c r="J258" s="25" t="s">
        <v>1740</v>
      </c>
      <c r="K258" s="25" t="s">
        <v>1738</v>
      </c>
      <c r="L258" s="25" t="s">
        <v>1738</v>
      </c>
      <c r="M258" s="25" t="s">
        <v>1738</v>
      </c>
      <c r="N258" s="25" t="s">
        <v>1741</v>
      </c>
      <c r="O258" s="25" t="s">
        <v>1742</v>
      </c>
      <c r="P258" s="25" t="s">
        <v>1742</v>
      </c>
      <c r="Q258" s="25" t="s">
        <v>1738</v>
      </c>
    </row>
    <row r="259" spans="1:17" ht="25.5">
      <c r="A259" s="24" t="e">
        <f ca="1">MATCH(B259,UNIQUE($B$2:$B$1010),0)-1 &amp; ", " &amp; COUNTIF($B$2:B259,B259)-1</f>
        <v>#NAME?</v>
      </c>
      <c r="B259" s="24" t="s">
        <v>922</v>
      </c>
      <c r="C259" s="24">
        <v>137</v>
      </c>
      <c r="D259" s="25" t="s">
        <v>498</v>
      </c>
      <c r="E259" s="25"/>
      <c r="F259" s="25" t="str">
        <f t="shared" ref="F259:F373" si="2">H259</f>
        <v>PORYGON</v>
      </c>
      <c r="G259" s="25" t="s">
        <v>1743</v>
      </c>
      <c r="H259" s="25" t="s">
        <v>1744</v>
      </c>
      <c r="I259" s="25" t="s">
        <v>1744</v>
      </c>
      <c r="J259" s="25" t="s">
        <v>1744</v>
      </c>
      <c r="K259" s="25" t="s">
        <v>1744</v>
      </c>
      <c r="L259" s="25" t="s">
        <v>1744</v>
      </c>
      <c r="M259" s="25" t="s">
        <v>1744</v>
      </c>
      <c r="N259" s="25" t="s">
        <v>1745</v>
      </c>
      <c r="O259" s="25" t="s">
        <v>1746</v>
      </c>
      <c r="P259" s="25" t="s">
        <v>1747</v>
      </c>
      <c r="Q259" s="25" t="s">
        <v>1744</v>
      </c>
    </row>
    <row r="260" spans="1:17" ht="25.5">
      <c r="A260" s="24" t="e">
        <f ca="1">MATCH(B260,UNIQUE($B$2:$B$1010),0)-1 &amp; ", " &amp; COUNTIF($B$2:B260,B260)-1</f>
        <v>#NAME?</v>
      </c>
      <c r="B260" s="24" t="s">
        <v>922</v>
      </c>
      <c r="C260" s="24">
        <v>138</v>
      </c>
      <c r="D260" s="25" t="s">
        <v>498</v>
      </c>
      <c r="E260" s="25"/>
      <c r="F260" s="25" t="str">
        <f t="shared" si="2"/>
        <v>OMANYTE</v>
      </c>
      <c r="G260" s="25" t="s">
        <v>1748</v>
      </c>
      <c r="H260" s="25" t="s">
        <v>1749</v>
      </c>
      <c r="I260" s="25" t="s">
        <v>1750</v>
      </c>
      <c r="J260" s="25" t="s">
        <v>1751</v>
      </c>
      <c r="K260" s="25" t="s">
        <v>1749</v>
      </c>
      <c r="L260" s="25" t="s">
        <v>1749</v>
      </c>
      <c r="M260" s="25" t="s">
        <v>1749</v>
      </c>
      <c r="N260" s="25" t="s">
        <v>1752</v>
      </c>
      <c r="O260" s="25" t="s">
        <v>1753</v>
      </c>
      <c r="P260" s="25" t="s">
        <v>1754</v>
      </c>
      <c r="Q260" s="25" t="s">
        <v>1749</v>
      </c>
    </row>
    <row r="261" spans="1:17" ht="25.5">
      <c r="A261" s="24" t="e">
        <f ca="1">MATCH(B261,UNIQUE($B$2:$B$1010),0)-1 &amp; ", " &amp; COUNTIF($B$2:B261,B261)-1</f>
        <v>#NAME?</v>
      </c>
      <c r="B261" s="24" t="s">
        <v>922</v>
      </c>
      <c r="C261" s="24">
        <v>139</v>
      </c>
      <c r="D261" s="25" t="s">
        <v>498</v>
      </c>
      <c r="E261" s="25"/>
      <c r="F261" s="25" t="str">
        <f t="shared" si="2"/>
        <v>OMASTAR</v>
      </c>
      <c r="G261" s="25" t="s">
        <v>1755</v>
      </c>
      <c r="H261" s="25" t="s">
        <v>1756</v>
      </c>
      <c r="I261" s="25" t="s">
        <v>1757</v>
      </c>
      <c r="J261" s="25" t="s">
        <v>1758</v>
      </c>
      <c r="K261" s="25" t="s">
        <v>1756</v>
      </c>
      <c r="L261" s="25" t="s">
        <v>1756</v>
      </c>
      <c r="M261" s="25" t="s">
        <v>1756</v>
      </c>
      <c r="N261" s="25" t="s">
        <v>1759</v>
      </c>
      <c r="O261" s="25" t="s">
        <v>1760</v>
      </c>
      <c r="P261" s="25" t="s">
        <v>1761</v>
      </c>
      <c r="Q261" s="25" t="s">
        <v>1756</v>
      </c>
    </row>
    <row r="262" spans="1:17" ht="25.5">
      <c r="A262" s="24" t="e">
        <f ca="1">MATCH(B262,UNIQUE($B$2:$B$1010),0)-1 &amp; ", " &amp; COUNTIF($B$2:B262,B262)-1</f>
        <v>#NAME?</v>
      </c>
      <c r="B262" s="24" t="s">
        <v>922</v>
      </c>
      <c r="C262" s="24">
        <v>140</v>
      </c>
      <c r="D262" s="25" t="s">
        <v>498</v>
      </c>
      <c r="E262" s="25"/>
      <c r="F262" s="25" t="str">
        <f t="shared" si="2"/>
        <v>KABUTO</v>
      </c>
      <c r="G262" s="25" t="s">
        <v>1762</v>
      </c>
      <c r="H262" s="25" t="s">
        <v>1763</v>
      </c>
      <c r="I262" s="25" t="s">
        <v>1763</v>
      </c>
      <c r="J262" s="25" t="s">
        <v>1763</v>
      </c>
      <c r="K262" s="25" t="s">
        <v>1763</v>
      </c>
      <c r="L262" s="25" t="s">
        <v>1763</v>
      </c>
      <c r="M262" s="25" t="s">
        <v>1763</v>
      </c>
      <c r="N262" s="25" t="s">
        <v>1764</v>
      </c>
      <c r="O262" s="25" t="s">
        <v>1765</v>
      </c>
      <c r="P262" s="25" t="s">
        <v>1765</v>
      </c>
      <c r="Q262" s="25" t="s">
        <v>1763</v>
      </c>
    </row>
    <row r="263" spans="1:17" ht="25.5">
      <c r="A263" s="24" t="e">
        <f ca="1">MATCH(B263,UNIQUE($B$2:$B$1010),0)-1 &amp; ", " &amp; COUNTIF($B$2:B263,B263)-1</f>
        <v>#NAME?</v>
      </c>
      <c r="B263" s="24" t="s">
        <v>922</v>
      </c>
      <c r="C263" s="24">
        <v>141</v>
      </c>
      <c r="D263" s="25" t="s">
        <v>498</v>
      </c>
      <c r="E263" s="25"/>
      <c r="F263" s="25" t="str">
        <f t="shared" si="2"/>
        <v>KABUTOPS</v>
      </c>
      <c r="G263" s="25" t="s">
        <v>1766</v>
      </c>
      <c r="H263" s="25" t="s">
        <v>1767</v>
      </c>
      <c r="I263" s="25" t="s">
        <v>1767</v>
      </c>
      <c r="J263" s="25" t="s">
        <v>1767</v>
      </c>
      <c r="K263" s="25" t="s">
        <v>1767</v>
      </c>
      <c r="L263" s="25" t="s">
        <v>1767</v>
      </c>
      <c r="M263" s="25" t="s">
        <v>1767</v>
      </c>
      <c r="N263" s="25" t="s">
        <v>1768</v>
      </c>
      <c r="O263" s="25" t="s">
        <v>1769</v>
      </c>
      <c r="P263" s="25" t="s">
        <v>1770</v>
      </c>
      <c r="Q263" s="25" t="s">
        <v>1767</v>
      </c>
    </row>
    <row r="264" spans="1:17" ht="25.5">
      <c r="A264" s="24" t="e">
        <f ca="1">MATCH(B264,UNIQUE($B$2:$B$1010),0)-1 &amp; ", " &amp; COUNTIF($B$2:B264,B264)-1</f>
        <v>#NAME?</v>
      </c>
      <c r="B264" s="24" t="s">
        <v>922</v>
      </c>
      <c r="C264" s="24">
        <v>142</v>
      </c>
      <c r="D264" s="25" t="s">
        <v>498</v>
      </c>
      <c r="E264" s="25"/>
      <c r="F264" s="25" t="str">
        <f t="shared" si="2"/>
        <v>AERODACTYL</v>
      </c>
      <c r="G264" s="25" t="s">
        <v>1771</v>
      </c>
      <c r="H264" s="25" t="s">
        <v>1772</v>
      </c>
      <c r="I264" s="25" t="s">
        <v>1773</v>
      </c>
      <c r="J264" s="25" t="s">
        <v>1772</v>
      </c>
      <c r="K264" s="25" t="s">
        <v>1772</v>
      </c>
      <c r="L264" s="25" t="s">
        <v>1772</v>
      </c>
      <c r="M264" s="25" t="s">
        <v>1772</v>
      </c>
      <c r="N264" s="25" t="s">
        <v>1774</v>
      </c>
      <c r="O264" s="25" t="s">
        <v>1775</v>
      </c>
      <c r="P264" s="25" t="s">
        <v>1776</v>
      </c>
      <c r="Q264" s="25" t="s">
        <v>1772</v>
      </c>
    </row>
    <row r="265" spans="1:17" ht="25.5">
      <c r="A265" s="24" t="e">
        <f ca="1">MATCH(B265,UNIQUE($B$2:$B$1010),0)-1 &amp; ", " &amp; COUNTIF($B$2:B265,B265)-1</f>
        <v>#NAME?</v>
      </c>
      <c r="B265" s="24" t="s">
        <v>922</v>
      </c>
      <c r="C265" s="24">
        <v>143</v>
      </c>
      <c r="D265" s="25" t="s">
        <v>498</v>
      </c>
      <c r="E265" s="25"/>
      <c r="F265" s="25" t="str">
        <f t="shared" si="2"/>
        <v>SNORLAX</v>
      </c>
      <c r="G265" s="25" t="s">
        <v>1777</v>
      </c>
      <c r="H265" s="25" t="s">
        <v>1778</v>
      </c>
      <c r="I265" s="25" t="s">
        <v>1779</v>
      </c>
      <c r="J265" s="25" t="s">
        <v>1780</v>
      </c>
      <c r="K265" s="25" t="s">
        <v>1778</v>
      </c>
      <c r="L265" s="25" t="s">
        <v>1778</v>
      </c>
      <c r="M265" s="25" t="s">
        <v>1778</v>
      </c>
      <c r="N265" s="25" t="s">
        <v>1781</v>
      </c>
      <c r="O265" s="25" t="s">
        <v>1782</v>
      </c>
      <c r="P265" s="25" t="s">
        <v>1783</v>
      </c>
      <c r="Q265" s="25" t="s">
        <v>1778</v>
      </c>
    </row>
    <row r="266" spans="1:17" ht="25.5">
      <c r="A266" s="24" t="e">
        <f ca="1">MATCH(B266,UNIQUE($B$2:$B$1010),0)-1 &amp; ", " &amp; COUNTIF($B$2:B266,B266)-1</f>
        <v>#NAME?</v>
      </c>
      <c r="B266" s="24" t="s">
        <v>922</v>
      </c>
      <c r="C266" s="24">
        <v>144</v>
      </c>
      <c r="D266" s="25" t="s">
        <v>498</v>
      </c>
      <c r="E266" s="25"/>
      <c r="F266" s="25" t="str">
        <f t="shared" si="2"/>
        <v>ARTICUNO</v>
      </c>
      <c r="G266" s="25" t="s">
        <v>1784</v>
      </c>
      <c r="H266" s="25" t="s">
        <v>1785</v>
      </c>
      <c r="I266" s="25" t="s">
        <v>1786</v>
      </c>
      <c r="J266" s="25" t="s">
        <v>1787</v>
      </c>
      <c r="K266" s="25" t="s">
        <v>1785</v>
      </c>
      <c r="L266" s="25" t="s">
        <v>1785</v>
      </c>
      <c r="M266" s="25" t="s">
        <v>1785</v>
      </c>
      <c r="N266" s="25" t="s">
        <v>1788</v>
      </c>
      <c r="O266" s="25" t="s">
        <v>1789</v>
      </c>
      <c r="P266" s="25" t="s">
        <v>1790</v>
      </c>
      <c r="Q266" s="25" t="s">
        <v>1785</v>
      </c>
    </row>
    <row r="267" spans="1:17" ht="25.5">
      <c r="A267" s="24" t="e">
        <f ca="1">MATCH(B267,UNIQUE($B$2:$B$1010),0)-1 &amp; ", " &amp; COUNTIF($B$2:B267,B267)-1</f>
        <v>#NAME?</v>
      </c>
      <c r="B267" s="24" t="s">
        <v>922</v>
      </c>
      <c r="C267" s="24">
        <v>145</v>
      </c>
      <c r="D267" s="25" t="s">
        <v>498</v>
      </c>
      <c r="E267" s="25"/>
      <c r="F267" s="25" t="str">
        <f t="shared" si="2"/>
        <v>ZAPDOS</v>
      </c>
      <c r="G267" s="25" t="s">
        <v>1791</v>
      </c>
      <c r="H267" s="25" t="s">
        <v>1792</v>
      </c>
      <c r="I267" s="25" t="s">
        <v>1793</v>
      </c>
      <c r="J267" s="25" t="s">
        <v>1792</v>
      </c>
      <c r="K267" s="25" t="s">
        <v>1792</v>
      </c>
      <c r="L267" s="25" t="s">
        <v>1792</v>
      </c>
      <c r="M267" s="25" t="s">
        <v>1792</v>
      </c>
      <c r="N267" s="25" t="s">
        <v>1794</v>
      </c>
      <c r="O267" s="25" t="s">
        <v>1795</v>
      </c>
      <c r="P267" s="25" t="s">
        <v>1796</v>
      </c>
      <c r="Q267" s="25" t="s">
        <v>1792</v>
      </c>
    </row>
    <row r="268" spans="1:17" ht="25.5">
      <c r="A268" s="24" t="e">
        <f ca="1">MATCH(B268,UNIQUE($B$2:$B$1010),0)-1 &amp; ", " &amp; COUNTIF($B$2:B268,B268)-1</f>
        <v>#NAME?</v>
      </c>
      <c r="B268" s="24" t="s">
        <v>922</v>
      </c>
      <c r="C268" s="24">
        <v>146</v>
      </c>
      <c r="D268" s="25" t="s">
        <v>498</v>
      </c>
      <c r="E268" s="25"/>
      <c r="F268" s="25" t="str">
        <f t="shared" si="2"/>
        <v>MOLTRES</v>
      </c>
      <c r="G268" s="25" t="s">
        <v>1797</v>
      </c>
      <c r="H268" s="25" t="s">
        <v>1798</v>
      </c>
      <c r="I268" s="25" t="s">
        <v>1799</v>
      </c>
      <c r="J268" s="25" t="s">
        <v>1800</v>
      </c>
      <c r="K268" s="25" t="s">
        <v>1798</v>
      </c>
      <c r="L268" s="25" t="s">
        <v>1798</v>
      </c>
      <c r="M268" s="25" t="s">
        <v>1798</v>
      </c>
      <c r="N268" s="25" t="s">
        <v>1801</v>
      </c>
      <c r="O268" s="25" t="s">
        <v>1802</v>
      </c>
      <c r="P268" s="25" t="s">
        <v>1803</v>
      </c>
      <c r="Q268" s="25" t="s">
        <v>1798</v>
      </c>
    </row>
    <row r="269" spans="1:17" ht="25.5">
      <c r="A269" s="24" t="e">
        <f ca="1">MATCH(B269,UNIQUE($B$2:$B$1010),0)-1 &amp; ", " &amp; COUNTIF($B$2:B269,B269)-1</f>
        <v>#NAME?</v>
      </c>
      <c r="B269" s="24" t="s">
        <v>922</v>
      </c>
      <c r="C269" s="24">
        <v>147</v>
      </c>
      <c r="D269" s="25" t="s">
        <v>498</v>
      </c>
      <c r="E269" s="25"/>
      <c r="F269" s="25" t="str">
        <f t="shared" si="2"/>
        <v>DRATINI</v>
      </c>
      <c r="G269" s="25" t="s">
        <v>1804</v>
      </c>
      <c r="H269" s="25" t="s">
        <v>1805</v>
      </c>
      <c r="I269" s="25" t="s">
        <v>1806</v>
      </c>
      <c r="J269" s="25" t="s">
        <v>1805</v>
      </c>
      <c r="K269" s="25" t="s">
        <v>1805</v>
      </c>
      <c r="L269" s="25" t="s">
        <v>1805</v>
      </c>
      <c r="M269" s="25" t="s">
        <v>1805</v>
      </c>
      <c r="N269" s="25" t="s">
        <v>1807</v>
      </c>
      <c r="O269" s="25" t="s">
        <v>1808</v>
      </c>
      <c r="P269" s="25" t="s">
        <v>1809</v>
      </c>
      <c r="Q269" s="25" t="s">
        <v>1805</v>
      </c>
    </row>
    <row r="270" spans="1:17" ht="25.5">
      <c r="A270" s="24" t="e">
        <f ca="1">MATCH(B270,UNIQUE($B$2:$B$1010),0)-1 &amp; ", " &amp; COUNTIF($B$2:B270,B270)-1</f>
        <v>#NAME?</v>
      </c>
      <c r="B270" s="24" t="s">
        <v>922</v>
      </c>
      <c r="C270" s="24">
        <v>148</v>
      </c>
      <c r="D270" s="25" t="s">
        <v>498</v>
      </c>
      <c r="E270" s="25"/>
      <c r="F270" s="25" t="str">
        <f t="shared" si="2"/>
        <v>DRAGONAIR</v>
      </c>
      <c r="G270" s="25" t="s">
        <v>1810</v>
      </c>
      <c r="H270" s="25" t="s">
        <v>1811</v>
      </c>
      <c r="I270" s="25" t="s">
        <v>1812</v>
      </c>
      <c r="J270" s="25" t="s">
        <v>1813</v>
      </c>
      <c r="K270" s="25" t="s">
        <v>1811</v>
      </c>
      <c r="L270" s="25" t="s">
        <v>1811</v>
      </c>
      <c r="M270" s="25" t="s">
        <v>1811</v>
      </c>
      <c r="N270" s="25" t="s">
        <v>1814</v>
      </c>
      <c r="O270" s="25" t="s">
        <v>1815</v>
      </c>
      <c r="P270" s="25" t="s">
        <v>1816</v>
      </c>
      <c r="Q270" s="25" t="s">
        <v>1811</v>
      </c>
    </row>
    <row r="271" spans="1:17" ht="25.5">
      <c r="A271" s="24" t="e">
        <f ca="1">MATCH(B271,UNIQUE($B$2:$B$1010),0)-1 &amp; ", " &amp; COUNTIF($B$2:B271,B271)-1</f>
        <v>#NAME?</v>
      </c>
      <c r="B271" s="24" t="s">
        <v>922</v>
      </c>
      <c r="C271" s="24">
        <v>149</v>
      </c>
      <c r="D271" s="25" t="s">
        <v>498</v>
      </c>
      <c r="E271" s="25"/>
      <c r="F271" s="25" t="str">
        <f t="shared" si="2"/>
        <v>DRAGONITE</v>
      </c>
      <c r="G271" s="25" t="s">
        <v>1817</v>
      </c>
      <c r="H271" s="25" t="s">
        <v>1818</v>
      </c>
      <c r="I271" s="25" t="s">
        <v>1819</v>
      </c>
      <c r="J271" s="25" t="s">
        <v>1820</v>
      </c>
      <c r="K271" s="25" t="s">
        <v>1818</v>
      </c>
      <c r="L271" s="25" t="s">
        <v>1818</v>
      </c>
      <c r="M271" s="25" t="s">
        <v>1818</v>
      </c>
      <c r="N271" s="25" t="s">
        <v>1821</v>
      </c>
      <c r="O271" s="25" t="s">
        <v>1822</v>
      </c>
      <c r="P271" s="25" t="s">
        <v>1823</v>
      </c>
      <c r="Q271" s="25" t="s">
        <v>1818</v>
      </c>
    </row>
    <row r="272" spans="1:17" ht="25.5">
      <c r="A272" s="24" t="e">
        <f ca="1">MATCH(B272,UNIQUE($B$2:$B$1010),0)-1 &amp; ", " &amp; COUNTIF($B$2:B272,B272)-1</f>
        <v>#NAME?</v>
      </c>
      <c r="B272" s="24" t="s">
        <v>922</v>
      </c>
      <c r="C272" s="24">
        <v>150</v>
      </c>
      <c r="D272" s="25" t="s">
        <v>498</v>
      </c>
      <c r="E272" s="25"/>
      <c r="F272" s="25" t="str">
        <f t="shared" si="2"/>
        <v>MEWTWO</v>
      </c>
      <c r="G272" s="25" t="s">
        <v>1824</v>
      </c>
      <c r="H272" s="25" t="s">
        <v>1825</v>
      </c>
      <c r="I272" s="25" t="s">
        <v>1825</v>
      </c>
      <c r="J272" s="25" t="s">
        <v>1826</v>
      </c>
      <c r="K272" s="25" t="s">
        <v>1825</v>
      </c>
      <c r="L272" s="25" t="s">
        <v>1825</v>
      </c>
      <c r="M272" s="25" t="s">
        <v>1825</v>
      </c>
      <c r="N272" s="25" t="s">
        <v>1827</v>
      </c>
      <c r="O272" s="25" t="s">
        <v>1828</v>
      </c>
      <c r="P272" s="25" t="s">
        <v>1829</v>
      </c>
      <c r="Q272" s="25" t="s">
        <v>1825</v>
      </c>
    </row>
    <row r="273" spans="1:17" ht="25.5">
      <c r="A273" s="24" t="e">
        <f ca="1">MATCH(B273,UNIQUE($B$2:$B$1010),0)-1 &amp; ", " &amp; COUNTIF($B$2:B273,B273)-1</f>
        <v>#NAME?</v>
      </c>
      <c r="B273" s="24" t="s">
        <v>922</v>
      </c>
      <c r="C273" s="24">
        <v>151</v>
      </c>
      <c r="D273" s="25" t="s">
        <v>498</v>
      </c>
      <c r="E273" s="25"/>
      <c r="F273" s="25" t="str">
        <f t="shared" si="2"/>
        <v>MEW</v>
      </c>
      <c r="G273" s="25" t="s">
        <v>1830</v>
      </c>
      <c r="H273" s="25" t="s">
        <v>1831</v>
      </c>
      <c r="I273" s="25" t="s">
        <v>1831</v>
      </c>
      <c r="J273" s="25" t="s">
        <v>1831</v>
      </c>
      <c r="K273" s="25" t="s">
        <v>1831</v>
      </c>
      <c r="L273" s="25" t="s">
        <v>1831</v>
      </c>
      <c r="M273" s="25" t="s">
        <v>1831</v>
      </c>
      <c r="N273" s="25" t="s">
        <v>1832</v>
      </c>
      <c r="O273" s="25" t="s">
        <v>1833</v>
      </c>
      <c r="P273" s="25" t="s">
        <v>1834</v>
      </c>
      <c r="Q273" s="25" t="s">
        <v>1831</v>
      </c>
    </row>
    <row r="274" spans="1:17" ht="25.5">
      <c r="A274" s="24" t="e">
        <f ca="1">MATCH(B274,UNIQUE($B$2:$B$1010),0)-1 &amp; ", " &amp; COUNTIF($B$2:B274,B274)-1</f>
        <v>#NAME?</v>
      </c>
      <c r="B274" s="24" t="s">
        <v>922</v>
      </c>
      <c r="C274" s="24">
        <v>152</v>
      </c>
      <c r="D274" s="25" t="s">
        <v>498</v>
      </c>
      <c r="E274" s="25"/>
      <c r="F274" s="25" t="str">
        <f t="shared" si="2"/>
        <v>CHIKORITA</v>
      </c>
      <c r="G274" s="25" t="s">
        <v>1835</v>
      </c>
      <c r="H274" s="25" t="s">
        <v>1836</v>
      </c>
      <c r="I274" s="25" t="s">
        <v>1837</v>
      </c>
      <c r="J274" s="25" t="s">
        <v>1838</v>
      </c>
      <c r="K274" s="25" t="s">
        <v>1836</v>
      </c>
      <c r="L274" s="25" t="s">
        <v>1836</v>
      </c>
      <c r="M274" s="25" t="s">
        <v>1836</v>
      </c>
      <c r="N274" s="25" t="s">
        <v>1839</v>
      </c>
      <c r="O274" s="25" t="s">
        <v>1840</v>
      </c>
      <c r="P274" s="25" t="s">
        <v>1841</v>
      </c>
      <c r="Q274" s="25" t="s">
        <v>1836</v>
      </c>
    </row>
    <row r="275" spans="1:17" ht="25.5">
      <c r="A275" s="24" t="e">
        <f ca="1">MATCH(B275,UNIQUE($B$2:$B$1010),0)-1 &amp; ", " &amp; COUNTIF($B$2:B275,B275)-1</f>
        <v>#NAME?</v>
      </c>
      <c r="B275" s="24" t="s">
        <v>922</v>
      </c>
      <c r="C275" s="24">
        <v>153</v>
      </c>
      <c r="D275" s="25" t="s">
        <v>498</v>
      </c>
      <c r="E275" s="25"/>
      <c r="F275" s="25" t="str">
        <f t="shared" si="2"/>
        <v>BAYLEEF</v>
      </c>
      <c r="G275" s="25" t="s">
        <v>1842</v>
      </c>
      <c r="H275" s="25" t="s">
        <v>1843</v>
      </c>
      <c r="I275" s="25" t="s">
        <v>1844</v>
      </c>
      <c r="J275" s="25" t="s">
        <v>1845</v>
      </c>
      <c r="K275" s="25" t="s">
        <v>1843</v>
      </c>
      <c r="L275" s="25" t="s">
        <v>1843</v>
      </c>
      <c r="M275" s="25" t="s">
        <v>1843</v>
      </c>
      <c r="N275" s="25" t="s">
        <v>1846</v>
      </c>
      <c r="O275" s="25" t="s">
        <v>1847</v>
      </c>
      <c r="P275" s="25" t="s">
        <v>1848</v>
      </c>
      <c r="Q275" s="25" t="s">
        <v>1843</v>
      </c>
    </row>
    <row r="276" spans="1:17" ht="25.5">
      <c r="A276" s="24" t="e">
        <f ca="1">MATCH(B276,UNIQUE($B$2:$B$1010),0)-1 &amp; ", " &amp; COUNTIF($B$2:B276,B276)-1</f>
        <v>#NAME?</v>
      </c>
      <c r="B276" s="24" t="s">
        <v>922</v>
      </c>
      <c r="C276" s="24">
        <v>154</v>
      </c>
      <c r="D276" s="25" t="s">
        <v>498</v>
      </c>
      <c r="E276" s="25"/>
      <c r="F276" s="25" t="str">
        <f t="shared" si="2"/>
        <v>MEGANIUM</v>
      </c>
      <c r="G276" s="25" t="s">
        <v>1849</v>
      </c>
      <c r="H276" s="25" t="s">
        <v>1850</v>
      </c>
      <c r="I276" s="25" t="s">
        <v>1850</v>
      </c>
      <c r="J276" s="25" t="s">
        <v>1851</v>
      </c>
      <c r="K276" s="25" t="s">
        <v>1850</v>
      </c>
      <c r="L276" s="25" t="s">
        <v>1850</v>
      </c>
      <c r="M276" s="25" t="s">
        <v>1850</v>
      </c>
      <c r="N276" s="25" t="s">
        <v>1852</v>
      </c>
      <c r="O276" s="25" t="s">
        <v>1853</v>
      </c>
      <c r="P276" s="25" t="s">
        <v>1853</v>
      </c>
      <c r="Q276" s="25" t="s">
        <v>1850</v>
      </c>
    </row>
    <row r="277" spans="1:17" ht="25.5">
      <c r="A277" s="24" t="e">
        <f ca="1">MATCH(B277,UNIQUE($B$2:$B$1010),0)-1 &amp; ", " &amp; COUNTIF($B$2:B277,B277)-1</f>
        <v>#NAME?</v>
      </c>
      <c r="B277" s="24" t="s">
        <v>922</v>
      </c>
      <c r="C277" s="24">
        <v>155</v>
      </c>
      <c r="D277" s="25" t="s">
        <v>498</v>
      </c>
      <c r="E277" s="25"/>
      <c r="F277" s="25" t="str">
        <f t="shared" si="2"/>
        <v>CYNDAQUIL</v>
      </c>
      <c r="G277" s="25" t="s">
        <v>1854</v>
      </c>
      <c r="H277" s="25" t="s">
        <v>1855</v>
      </c>
      <c r="I277" s="25" t="s">
        <v>1856</v>
      </c>
      <c r="J277" s="25" t="s">
        <v>1857</v>
      </c>
      <c r="K277" s="25" t="s">
        <v>1855</v>
      </c>
      <c r="L277" s="25" t="s">
        <v>1855</v>
      </c>
      <c r="M277" s="25" t="s">
        <v>1855</v>
      </c>
      <c r="N277" s="25" t="s">
        <v>1858</v>
      </c>
      <c r="O277" s="25" t="s">
        <v>1859</v>
      </c>
      <c r="P277" s="25" t="s">
        <v>1859</v>
      </c>
      <c r="Q277" s="25" t="s">
        <v>1855</v>
      </c>
    </row>
    <row r="278" spans="1:17" ht="25.5">
      <c r="A278" s="24" t="e">
        <f ca="1">MATCH(B278,UNIQUE($B$2:$B$1010),0)-1 &amp; ", " &amp; COUNTIF($B$2:B278,B278)-1</f>
        <v>#NAME?</v>
      </c>
      <c r="B278" s="24" t="s">
        <v>922</v>
      </c>
      <c r="C278" s="24">
        <v>156</v>
      </c>
      <c r="D278" s="25" t="s">
        <v>498</v>
      </c>
      <c r="E278" s="25"/>
      <c r="F278" s="25" t="str">
        <f t="shared" si="2"/>
        <v>QUILAVA</v>
      </c>
      <c r="G278" s="25" t="s">
        <v>1860</v>
      </c>
      <c r="H278" s="25" t="s">
        <v>1861</v>
      </c>
      <c r="I278" s="25" t="s">
        <v>1862</v>
      </c>
      <c r="J278" s="25" t="s">
        <v>1863</v>
      </c>
      <c r="K278" s="25" t="s">
        <v>1861</v>
      </c>
      <c r="L278" s="25" t="s">
        <v>1861</v>
      </c>
      <c r="M278" s="25" t="s">
        <v>1861</v>
      </c>
      <c r="N278" s="25" t="s">
        <v>1864</v>
      </c>
      <c r="O278" s="25" t="s">
        <v>1865</v>
      </c>
      <c r="P278" s="25" t="s">
        <v>1865</v>
      </c>
      <c r="Q278" s="25" t="s">
        <v>1861</v>
      </c>
    </row>
    <row r="279" spans="1:17" ht="25.5">
      <c r="A279" s="24" t="e">
        <f ca="1">MATCH(B279,UNIQUE($B$2:$B$1010),0)-1 &amp; ", " &amp; COUNTIF($B$2:B279,B279)-1</f>
        <v>#NAME?</v>
      </c>
      <c r="B279" s="24" t="s">
        <v>922</v>
      </c>
      <c r="C279" s="24">
        <v>157</v>
      </c>
      <c r="D279" s="25" t="s">
        <v>498</v>
      </c>
      <c r="E279" s="25"/>
      <c r="F279" s="25" t="str">
        <f t="shared" si="2"/>
        <v>TYPHLOSION</v>
      </c>
      <c r="G279" s="25" t="s">
        <v>1866</v>
      </c>
      <c r="H279" s="25" t="s">
        <v>1867</v>
      </c>
      <c r="I279" s="25" t="s">
        <v>1867</v>
      </c>
      <c r="J279" s="25" t="s">
        <v>1868</v>
      </c>
      <c r="K279" s="25" t="s">
        <v>1867</v>
      </c>
      <c r="L279" s="25" t="s">
        <v>1867</v>
      </c>
      <c r="M279" s="25" t="s">
        <v>1867</v>
      </c>
      <c r="N279" s="25" t="s">
        <v>1869</v>
      </c>
      <c r="O279" s="25" t="s">
        <v>1870</v>
      </c>
      <c r="P279" s="25" t="s">
        <v>1871</v>
      </c>
      <c r="Q279" s="25" t="s">
        <v>1867</v>
      </c>
    </row>
    <row r="280" spans="1:17" ht="25.5">
      <c r="A280" s="24" t="e">
        <f ca="1">MATCH(B280,UNIQUE($B$2:$B$1010),0)-1 &amp; ", " &amp; COUNTIF($B$2:B280,B280)-1</f>
        <v>#NAME?</v>
      </c>
      <c r="B280" s="24" t="s">
        <v>922</v>
      </c>
      <c r="C280" s="24">
        <v>158</v>
      </c>
      <c r="D280" s="25" t="s">
        <v>498</v>
      </c>
      <c r="E280" s="25"/>
      <c r="F280" s="25" t="str">
        <f t="shared" si="2"/>
        <v>TOTODILE</v>
      </c>
      <c r="G280" s="25" t="s">
        <v>1872</v>
      </c>
      <c r="H280" s="25" t="s">
        <v>1873</v>
      </c>
      <c r="I280" s="25" t="s">
        <v>1874</v>
      </c>
      <c r="J280" s="25" t="s">
        <v>1875</v>
      </c>
      <c r="K280" s="25" t="s">
        <v>1873</v>
      </c>
      <c r="L280" s="25" t="s">
        <v>1873</v>
      </c>
      <c r="M280" s="25" t="s">
        <v>1873</v>
      </c>
      <c r="N280" s="25" t="s">
        <v>1876</v>
      </c>
      <c r="O280" s="25" t="s">
        <v>1877</v>
      </c>
      <c r="P280" s="25" t="s">
        <v>1878</v>
      </c>
      <c r="Q280" s="25" t="s">
        <v>1873</v>
      </c>
    </row>
    <row r="281" spans="1:17" ht="25.5">
      <c r="A281" s="24" t="e">
        <f ca="1">MATCH(B281,UNIQUE($B$2:$B$1010),0)-1 &amp; ", " &amp; COUNTIF($B$2:B281,B281)-1</f>
        <v>#NAME?</v>
      </c>
      <c r="B281" s="24" t="s">
        <v>922</v>
      </c>
      <c r="C281" s="24">
        <v>159</v>
      </c>
      <c r="D281" s="25" t="s">
        <v>498</v>
      </c>
      <c r="E281" s="25"/>
      <c r="F281" s="25" t="str">
        <f t="shared" si="2"/>
        <v>CROCONAW</v>
      </c>
      <c r="G281" s="25" t="s">
        <v>1879</v>
      </c>
      <c r="H281" s="25" t="s">
        <v>1880</v>
      </c>
      <c r="I281" s="25" t="s">
        <v>1881</v>
      </c>
      <c r="J281" s="25" t="s">
        <v>1882</v>
      </c>
      <c r="K281" s="25" t="s">
        <v>1880</v>
      </c>
      <c r="L281" s="25" t="s">
        <v>1880</v>
      </c>
      <c r="M281" s="25" t="s">
        <v>1880</v>
      </c>
      <c r="N281" s="25" t="s">
        <v>1883</v>
      </c>
      <c r="O281" s="25" t="s">
        <v>1884</v>
      </c>
      <c r="P281" s="25" t="s">
        <v>1885</v>
      </c>
      <c r="Q281" s="25" t="s">
        <v>1880</v>
      </c>
    </row>
    <row r="282" spans="1:17" ht="25.5">
      <c r="A282" s="24" t="e">
        <f ca="1">MATCH(B282,UNIQUE($B$2:$B$1010),0)-1 &amp; ", " &amp; COUNTIF($B$2:B282,B282)-1</f>
        <v>#NAME?</v>
      </c>
      <c r="B282" s="24" t="s">
        <v>922</v>
      </c>
      <c r="C282" s="24">
        <v>160</v>
      </c>
      <c r="D282" s="25" t="s">
        <v>498</v>
      </c>
      <c r="E282" s="25"/>
      <c r="F282" s="25" t="str">
        <f t="shared" si="2"/>
        <v>FERALIGATR</v>
      </c>
      <c r="G282" s="25" t="s">
        <v>1886</v>
      </c>
      <c r="H282" s="25" t="s">
        <v>1887</v>
      </c>
      <c r="I282" s="25" t="s">
        <v>1888</v>
      </c>
      <c r="J282" s="25" t="s">
        <v>1889</v>
      </c>
      <c r="K282" s="25" t="s">
        <v>1887</v>
      </c>
      <c r="L282" s="25" t="s">
        <v>1887</v>
      </c>
      <c r="M282" s="25" t="s">
        <v>1887</v>
      </c>
      <c r="N282" s="25" t="s">
        <v>1890</v>
      </c>
      <c r="O282" s="25" t="s">
        <v>1891</v>
      </c>
      <c r="P282" s="25" t="s">
        <v>1892</v>
      </c>
      <c r="Q282" s="25" t="s">
        <v>1887</v>
      </c>
    </row>
    <row r="283" spans="1:17" ht="25.5">
      <c r="A283" s="24" t="e">
        <f ca="1">MATCH(B283,UNIQUE($B$2:$B$1010),0)-1 &amp; ", " &amp; COUNTIF($B$2:B283,B283)-1</f>
        <v>#NAME?</v>
      </c>
      <c r="B283" s="24" t="s">
        <v>922</v>
      </c>
      <c r="C283" s="24">
        <v>161</v>
      </c>
      <c r="D283" s="25" t="s">
        <v>498</v>
      </c>
      <c r="E283" s="25"/>
      <c r="F283" s="25" t="str">
        <f t="shared" si="2"/>
        <v>SENTRET</v>
      </c>
      <c r="G283" s="25" t="s">
        <v>1893</v>
      </c>
      <c r="H283" s="25" t="s">
        <v>1894</v>
      </c>
      <c r="I283" s="25" t="s">
        <v>1895</v>
      </c>
      <c r="J283" s="25" t="s">
        <v>1896</v>
      </c>
      <c r="K283" s="25" t="s">
        <v>1894</v>
      </c>
      <c r="L283" s="25" t="s">
        <v>1894</v>
      </c>
      <c r="M283" s="25" t="s">
        <v>1894</v>
      </c>
      <c r="N283" s="25" t="s">
        <v>1897</v>
      </c>
      <c r="O283" s="25" t="s">
        <v>1898</v>
      </c>
      <c r="P283" s="25" t="s">
        <v>1898</v>
      </c>
      <c r="Q283" s="25" t="s">
        <v>1894</v>
      </c>
    </row>
    <row r="284" spans="1:17" ht="25.5">
      <c r="A284" s="24" t="e">
        <f ca="1">MATCH(B284,UNIQUE($B$2:$B$1010),0)-1 &amp; ", " &amp; COUNTIF($B$2:B284,B284)-1</f>
        <v>#NAME?</v>
      </c>
      <c r="B284" s="24" t="s">
        <v>922</v>
      </c>
      <c r="C284" s="24">
        <v>162</v>
      </c>
      <c r="D284" s="25" t="s">
        <v>498</v>
      </c>
      <c r="E284" s="25"/>
      <c r="F284" s="25" t="str">
        <f t="shared" si="2"/>
        <v>FURRET</v>
      </c>
      <c r="G284" s="25" t="s">
        <v>1899</v>
      </c>
      <c r="H284" s="25" t="s">
        <v>1900</v>
      </c>
      <c r="I284" s="25" t="s">
        <v>1901</v>
      </c>
      <c r="J284" s="25" t="s">
        <v>1902</v>
      </c>
      <c r="K284" s="25" t="s">
        <v>1900</v>
      </c>
      <c r="L284" s="25" t="s">
        <v>1900</v>
      </c>
      <c r="M284" s="25" t="s">
        <v>1900</v>
      </c>
      <c r="N284" s="25" t="s">
        <v>1903</v>
      </c>
      <c r="O284" s="25" t="s">
        <v>1904</v>
      </c>
      <c r="P284" s="25" t="s">
        <v>1904</v>
      </c>
      <c r="Q284" s="25" t="s">
        <v>1900</v>
      </c>
    </row>
    <row r="285" spans="1:17" ht="25.5">
      <c r="A285" s="24" t="e">
        <f ca="1">MATCH(B285,UNIQUE($B$2:$B$1010),0)-1 &amp; ", " &amp; COUNTIF($B$2:B285,B285)-1</f>
        <v>#NAME?</v>
      </c>
      <c r="B285" s="24" t="s">
        <v>922</v>
      </c>
      <c r="C285" s="24">
        <v>163</v>
      </c>
      <c r="D285" s="25" t="s">
        <v>498</v>
      </c>
      <c r="E285" s="25"/>
      <c r="F285" s="25" t="str">
        <f t="shared" si="2"/>
        <v>HOOTHOOT</v>
      </c>
      <c r="G285" s="25" t="s">
        <v>1905</v>
      </c>
      <c r="H285" s="25" t="s">
        <v>1906</v>
      </c>
      <c r="I285" s="25" t="s">
        <v>1906</v>
      </c>
      <c r="J285" s="25" t="s">
        <v>1906</v>
      </c>
      <c r="K285" s="25" t="s">
        <v>1906</v>
      </c>
      <c r="L285" s="25" t="s">
        <v>1906</v>
      </c>
      <c r="M285" s="25" t="s">
        <v>1906</v>
      </c>
      <c r="N285" s="25" t="s">
        <v>1907</v>
      </c>
      <c r="O285" s="25" t="s">
        <v>1908</v>
      </c>
      <c r="P285" s="25" t="s">
        <v>1908</v>
      </c>
      <c r="Q285" s="25" t="s">
        <v>1906</v>
      </c>
    </row>
    <row r="286" spans="1:17" ht="25.5">
      <c r="A286" s="24" t="e">
        <f ca="1">MATCH(B286,UNIQUE($B$2:$B$1010),0)-1 &amp; ", " &amp; COUNTIF($B$2:B286,B286)-1</f>
        <v>#NAME?</v>
      </c>
      <c r="B286" s="24" t="s">
        <v>922</v>
      </c>
      <c r="C286" s="24">
        <v>164</v>
      </c>
      <c r="D286" s="25" t="s">
        <v>498</v>
      </c>
      <c r="E286" s="25"/>
      <c r="F286" s="25" t="str">
        <f t="shared" si="2"/>
        <v>NOCTOWL</v>
      </c>
      <c r="G286" s="25" t="s">
        <v>1909</v>
      </c>
      <c r="H286" s="25" t="s">
        <v>1910</v>
      </c>
      <c r="I286" s="25" t="s">
        <v>1911</v>
      </c>
      <c r="J286" s="25" t="s">
        <v>1912</v>
      </c>
      <c r="K286" s="25" t="s">
        <v>1910</v>
      </c>
      <c r="L286" s="25" t="s">
        <v>1910</v>
      </c>
      <c r="M286" s="25" t="s">
        <v>1910</v>
      </c>
      <c r="N286" s="25" t="s">
        <v>1913</v>
      </c>
      <c r="O286" s="25" t="s">
        <v>1914</v>
      </c>
      <c r="P286" s="25" t="s">
        <v>1915</v>
      </c>
      <c r="Q286" s="25" t="s">
        <v>1910</v>
      </c>
    </row>
    <row r="287" spans="1:17" ht="25.5">
      <c r="A287" s="24" t="e">
        <f ca="1">MATCH(B287,UNIQUE($B$2:$B$1010),0)-1 &amp; ", " &amp; COUNTIF($B$2:B287,B287)-1</f>
        <v>#NAME?</v>
      </c>
      <c r="B287" s="24" t="s">
        <v>922</v>
      </c>
      <c r="C287" s="24">
        <v>165</v>
      </c>
      <c r="D287" s="25" t="s">
        <v>498</v>
      </c>
      <c r="E287" s="25"/>
      <c r="F287" s="25" t="str">
        <f t="shared" si="2"/>
        <v>LEDYBA</v>
      </c>
      <c r="G287" s="25" t="s">
        <v>1916</v>
      </c>
      <c r="H287" s="25" t="s">
        <v>1917</v>
      </c>
      <c r="I287" s="25" t="s">
        <v>1918</v>
      </c>
      <c r="J287" s="25" t="s">
        <v>1917</v>
      </c>
      <c r="K287" s="25" t="s">
        <v>1917</v>
      </c>
      <c r="L287" s="25" t="s">
        <v>1917</v>
      </c>
      <c r="M287" s="25" t="s">
        <v>1917</v>
      </c>
      <c r="N287" s="25" t="s">
        <v>1919</v>
      </c>
      <c r="O287" s="25" t="s">
        <v>1920</v>
      </c>
      <c r="P287" s="25" t="s">
        <v>1921</v>
      </c>
      <c r="Q287" s="25" t="s">
        <v>1917</v>
      </c>
    </row>
    <row r="288" spans="1:17" ht="25.5">
      <c r="A288" s="24" t="e">
        <f ca="1">MATCH(B288,UNIQUE($B$2:$B$1010),0)-1 &amp; ", " &amp; COUNTIF($B$2:B288,B288)-1</f>
        <v>#NAME?</v>
      </c>
      <c r="B288" s="24" t="s">
        <v>922</v>
      </c>
      <c r="C288" s="24">
        <v>166</v>
      </c>
      <c r="D288" s="25" t="s">
        <v>498</v>
      </c>
      <c r="E288" s="25"/>
      <c r="F288" s="25" t="str">
        <f t="shared" si="2"/>
        <v>LEDIAN</v>
      </c>
      <c r="G288" s="25" t="s">
        <v>1922</v>
      </c>
      <c r="H288" s="25" t="s">
        <v>1923</v>
      </c>
      <c r="I288" s="25" t="s">
        <v>1924</v>
      </c>
      <c r="J288" s="25" t="s">
        <v>1923</v>
      </c>
      <c r="K288" s="25" t="s">
        <v>1923</v>
      </c>
      <c r="L288" s="25" t="s">
        <v>1923</v>
      </c>
      <c r="M288" s="25" t="s">
        <v>1923</v>
      </c>
      <c r="N288" s="25" t="s">
        <v>1925</v>
      </c>
      <c r="O288" s="25" t="s">
        <v>1926</v>
      </c>
      <c r="P288" s="25" t="s">
        <v>1927</v>
      </c>
      <c r="Q288" s="25" t="s">
        <v>1923</v>
      </c>
    </row>
    <row r="289" spans="1:17" ht="25.5">
      <c r="A289" s="24" t="e">
        <f ca="1">MATCH(B289,UNIQUE($B$2:$B$1010),0)-1 &amp; ", " &amp; COUNTIF($B$2:B289,B289)-1</f>
        <v>#NAME?</v>
      </c>
      <c r="B289" s="24" t="s">
        <v>922</v>
      </c>
      <c r="C289" s="24">
        <v>167</v>
      </c>
      <c r="D289" s="25" t="s">
        <v>498</v>
      </c>
      <c r="E289" s="25"/>
      <c r="F289" s="25" t="str">
        <f t="shared" si="2"/>
        <v>SPINARAK</v>
      </c>
      <c r="G289" s="25" t="s">
        <v>1928</v>
      </c>
      <c r="H289" s="25" t="s">
        <v>1929</v>
      </c>
      <c r="I289" s="25" t="s">
        <v>1930</v>
      </c>
      <c r="J289" s="25" t="s">
        <v>1931</v>
      </c>
      <c r="K289" s="25" t="s">
        <v>1929</v>
      </c>
      <c r="L289" s="25" t="s">
        <v>1929</v>
      </c>
      <c r="M289" s="25" t="s">
        <v>1929</v>
      </c>
      <c r="N289" s="25" t="s">
        <v>1932</v>
      </c>
      <c r="O289" s="25" t="s">
        <v>1933</v>
      </c>
      <c r="P289" s="25" t="s">
        <v>1934</v>
      </c>
      <c r="Q289" s="25" t="s">
        <v>1929</v>
      </c>
    </row>
    <row r="290" spans="1:17" ht="25.5">
      <c r="A290" s="24" t="e">
        <f ca="1">MATCH(B290,UNIQUE($B$2:$B$1010),0)-1 &amp; ", " &amp; COUNTIF($B$2:B290,B290)-1</f>
        <v>#NAME?</v>
      </c>
      <c r="B290" s="24" t="s">
        <v>922</v>
      </c>
      <c r="C290" s="24">
        <v>168</v>
      </c>
      <c r="D290" s="25" t="s">
        <v>498</v>
      </c>
      <c r="E290" s="25"/>
      <c r="F290" s="25" t="str">
        <f t="shared" si="2"/>
        <v>ARIADOS</v>
      </c>
      <c r="G290" s="25" t="s">
        <v>1935</v>
      </c>
      <c r="H290" s="25" t="s">
        <v>1936</v>
      </c>
      <c r="I290" s="25" t="s">
        <v>1937</v>
      </c>
      <c r="J290" s="25" t="s">
        <v>1936</v>
      </c>
      <c r="K290" s="25" t="s">
        <v>1936</v>
      </c>
      <c r="L290" s="25" t="s">
        <v>1936</v>
      </c>
      <c r="M290" s="25" t="s">
        <v>1936</v>
      </c>
      <c r="N290" s="25" t="s">
        <v>1938</v>
      </c>
      <c r="O290" s="25" t="s">
        <v>1939</v>
      </c>
      <c r="P290" s="25" t="s">
        <v>1939</v>
      </c>
      <c r="Q290" s="25" t="s">
        <v>1936</v>
      </c>
    </row>
    <row r="291" spans="1:17" ht="25.5">
      <c r="A291" s="24" t="e">
        <f ca="1">MATCH(B291,UNIQUE($B$2:$B$1010),0)-1 &amp; ", " &amp; COUNTIF($B$2:B291,B291)-1</f>
        <v>#NAME?</v>
      </c>
      <c r="B291" s="24" t="s">
        <v>922</v>
      </c>
      <c r="C291" s="24">
        <v>169</v>
      </c>
      <c r="D291" s="25" t="s">
        <v>498</v>
      </c>
      <c r="E291" s="25"/>
      <c r="F291" s="25" t="str">
        <f t="shared" si="2"/>
        <v>CROBAT</v>
      </c>
      <c r="G291" s="25" t="s">
        <v>1940</v>
      </c>
      <c r="H291" s="25" t="s">
        <v>1941</v>
      </c>
      <c r="I291" s="25" t="s">
        <v>1942</v>
      </c>
      <c r="J291" s="25" t="s">
        <v>1943</v>
      </c>
      <c r="K291" s="25" t="s">
        <v>1941</v>
      </c>
      <c r="L291" s="25" t="s">
        <v>1941</v>
      </c>
      <c r="M291" s="25" t="s">
        <v>1941</v>
      </c>
      <c r="N291" s="25" t="s">
        <v>1944</v>
      </c>
      <c r="O291" s="25" t="s">
        <v>1945</v>
      </c>
      <c r="P291" s="25" t="s">
        <v>1945</v>
      </c>
      <c r="Q291" s="25" t="s">
        <v>1941</v>
      </c>
    </row>
    <row r="292" spans="1:17" ht="25.5">
      <c r="A292" s="24" t="e">
        <f ca="1">MATCH(B292,UNIQUE($B$2:$B$1010),0)-1 &amp; ", " &amp; COUNTIF($B$2:B292,B292)-1</f>
        <v>#NAME?</v>
      </c>
      <c r="B292" s="24" t="s">
        <v>922</v>
      </c>
      <c r="C292" s="24">
        <v>170</v>
      </c>
      <c r="D292" s="25" t="s">
        <v>498</v>
      </c>
      <c r="E292" s="25"/>
      <c r="F292" s="25" t="str">
        <f t="shared" si="2"/>
        <v>CHINCHOU</v>
      </c>
      <c r="G292" s="25" t="s">
        <v>1946</v>
      </c>
      <c r="H292" s="25" t="s">
        <v>1947</v>
      </c>
      <c r="I292" s="25" t="s">
        <v>1948</v>
      </c>
      <c r="J292" s="25" t="s">
        <v>1949</v>
      </c>
      <c r="K292" s="25" t="s">
        <v>1947</v>
      </c>
      <c r="L292" s="25" t="s">
        <v>1947</v>
      </c>
      <c r="M292" s="25" t="s">
        <v>1947</v>
      </c>
      <c r="N292" s="25" t="s">
        <v>1950</v>
      </c>
      <c r="O292" s="25" t="s">
        <v>1951</v>
      </c>
      <c r="P292" s="25" t="s">
        <v>1952</v>
      </c>
      <c r="Q292" s="25" t="s">
        <v>1947</v>
      </c>
    </row>
    <row r="293" spans="1:17" ht="25.5">
      <c r="A293" s="24" t="e">
        <f ca="1">MATCH(B293,UNIQUE($B$2:$B$1010),0)-1 &amp; ", " &amp; COUNTIF($B$2:B293,B293)-1</f>
        <v>#NAME?</v>
      </c>
      <c r="B293" s="24" t="s">
        <v>922</v>
      </c>
      <c r="C293" s="24">
        <v>171</v>
      </c>
      <c r="D293" s="25" t="s">
        <v>498</v>
      </c>
      <c r="E293" s="25"/>
      <c r="F293" s="25" t="str">
        <f t="shared" si="2"/>
        <v>LANTURN</v>
      </c>
      <c r="G293" s="25" t="s">
        <v>1953</v>
      </c>
      <c r="H293" s="25" t="s">
        <v>1954</v>
      </c>
      <c r="I293" s="25" t="s">
        <v>1954</v>
      </c>
      <c r="J293" s="25" t="s">
        <v>1954</v>
      </c>
      <c r="K293" s="25" t="s">
        <v>1954</v>
      </c>
      <c r="L293" s="25" t="s">
        <v>1954</v>
      </c>
      <c r="M293" s="25" t="s">
        <v>1954</v>
      </c>
      <c r="N293" s="25" t="s">
        <v>1955</v>
      </c>
      <c r="O293" s="25" t="s">
        <v>1956</v>
      </c>
      <c r="P293" s="25" t="s">
        <v>1957</v>
      </c>
      <c r="Q293" s="25" t="s">
        <v>1954</v>
      </c>
    </row>
    <row r="294" spans="1:17" ht="25.5">
      <c r="A294" s="24" t="e">
        <f ca="1">MATCH(B294,UNIQUE($B$2:$B$1010),0)-1 &amp; ", " &amp; COUNTIF($B$2:B294,B294)-1</f>
        <v>#NAME?</v>
      </c>
      <c r="B294" s="24" t="s">
        <v>922</v>
      </c>
      <c r="C294" s="24">
        <v>172</v>
      </c>
      <c r="D294" s="25" t="s">
        <v>498</v>
      </c>
      <c r="E294" s="25"/>
      <c r="F294" s="25" t="str">
        <f t="shared" si="2"/>
        <v>PICHU</v>
      </c>
      <c r="G294" s="25" t="s">
        <v>1958</v>
      </c>
      <c r="H294" s="25" t="s">
        <v>1959</v>
      </c>
      <c r="I294" s="25" t="s">
        <v>1959</v>
      </c>
      <c r="J294" s="25" t="s">
        <v>1959</v>
      </c>
      <c r="K294" s="25" t="s">
        <v>1959</v>
      </c>
      <c r="L294" s="25" t="s">
        <v>1959</v>
      </c>
      <c r="M294" s="25" t="s">
        <v>1959</v>
      </c>
      <c r="N294" s="25" t="s">
        <v>1960</v>
      </c>
      <c r="O294" s="25" t="s">
        <v>1961</v>
      </c>
      <c r="P294" s="25" t="s">
        <v>1961</v>
      </c>
      <c r="Q294" s="25" t="s">
        <v>1959</v>
      </c>
    </row>
    <row r="295" spans="1:17" ht="25.5">
      <c r="A295" s="24" t="e">
        <f ca="1">MATCH(B295,UNIQUE($B$2:$B$1010),0)-1 &amp; ", " &amp; COUNTIF($B$2:B295,B295)-1</f>
        <v>#NAME?</v>
      </c>
      <c r="B295" s="24" t="s">
        <v>922</v>
      </c>
      <c r="C295" s="24">
        <v>173</v>
      </c>
      <c r="D295" s="25" t="s">
        <v>498</v>
      </c>
      <c r="E295" s="25"/>
      <c r="F295" s="25" t="str">
        <f t="shared" si="2"/>
        <v>CLEFFA</v>
      </c>
      <c r="G295" s="25" t="s">
        <v>1962</v>
      </c>
      <c r="H295" s="25" t="s">
        <v>1963</v>
      </c>
      <c r="I295" s="25" t="s">
        <v>1964</v>
      </c>
      <c r="J295" s="25" t="s">
        <v>1965</v>
      </c>
      <c r="K295" s="25" t="s">
        <v>1963</v>
      </c>
      <c r="L295" s="25" t="s">
        <v>1963</v>
      </c>
      <c r="M295" s="25" t="s">
        <v>1963</v>
      </c>
      <c r="N295" s="25" t="s">
        <v>1966</v>
      </c>
      <c r="O295" s="25" t="s">
        <v>1967</v>
      </c>
      <c r="P295" s="25" t="s">
        <v>1968</v>
      </c>
      <c r="Q295" s="25" t="s">
        <v>1963</v>
      </c>
    </row>
    <row r="296" spans="1:17" ht="25.5">
      <c r="A296" s="24" t="e">
        <f ca="1">MATCH(B296,UNIQUE($B$2:$B$1010),0)-1 &amp; ", " &amp; COUNTIF($B$2:B296,B296)-1</f>
        <v>#NAME?</v>
      </c>
      <c r="B296" s="24" t="s">
        <v>922</v>
      </c>
      <c r="C296" s="24">
        <v>174</v>
      </c>
      <c r="D296" s="25" t="s">
        <v>498</v>
      </c>
      <c r="E296" s="25"/>
      <c r="F296" s="25" t="str">
        <f t="shared" si="2"/>
        <v>IGGLYBUFF</v>
      </c>
      <c r="G296" s="25" t="s">
        <v>1969</v>
      </c>
      <c r="H296" s="25" t="s">
        <v>1970</v>
      </c>
      <c r="I296" s="25" t="s">
        <v>1971</v>
      </c>
      <c r="J296" s="25" t="s">
        <v>1972</v>
      </c>
      <c r="K296" s="25" t="s">
        <v>1970</v>
      </c>
      <c r="L296" s="25" t="s">
        <v>1970</v>
      </c>
      <c r="M296" s="25" t="s">
        <v>1970</v>
      </c>
      <c r="N296" s="25" t="s">
        <v>1973</v>
      </c>
      <c r="O296" s="25" t="s">
        <v>1974</v>
      </c>
      <c r="P296" s="25" t="s">
        <v>1975</v>
      </c>
      <c r="Q296" s="25" t="s">
        <v>1970</v>
      </c>
    </row>
    <row r="297" spans="1:17" ht="25.5">
      <c r="A297" s="24" t="e">
        <f ca="1">MATCH(B297,UNIQUE($B$2:$B$1010),0)-1 &amp; ", " &amp; COUNTIF($B$2:B297,B297)-1</f>
        <v>#NAME?</v>
      </c>
      <c r="B297" s="24" t="s">
        <v>922</v>
      </c>
      <c r="C297" s="24">
        <v>175</v>
      </c>
      <c r="D297" s="25" t="s">
        <v>498</v>
      </c>
      <c r="E297" s="25"/>
      <c r="F297" s="25" t="str">
        <f t="shared" si="2"/>
        <v>TOGEPI</v>
      </c>
      <c r="G297" s="25" t="s">
        <v>1976</v>
      </c>
      <c r="H297" s="25" t="s">
        <v>1977</v>
      </c>
      <c r="I297" s="25" t="s">
        <v>1977</v>
      </c>
      <c r="J297" s="25" t="s">
        <v>1977</v>
      </c>
      <c r="K297" s="25" t="s">
        <v>1977</v>
      </c>
      <c r="L297" s="25" t="s">
        <v>1977</v>
      </c>
      <c r="M297" s="25" t="s">
        <v>1977</v>
      </c>
      <c r="N297" s="25" t="s">
        <v>1978</v>
      </c>
      <c r="O297" s="25" t="s">
        <v>1979</v>
      </c>
      <c r="P297" s="25" t="s">
        <v>1979</v>
      </c>
      <c r="Q297" s="25" t="s">
        <v>1977</v>
      </c>
    </row>
    <row r="298" spans="1:17" ht="25.5">
      <c r="A298" s="24" t="e">
        <f ca="1">MATCH(B298,UNIQUE($B$2:$B$1010),0)-1 &amp; ", " &amp; COUNTIF($B$2:B298,B298)-1</f>
        <v>#NAME?</v>
      </c>
      <c r="B298" s="24" t="s">
        <v>922</v>
      </c>
      <c r="C298" s="24">
        <v>176</v>
      </c>
      <c r="D298" s="25" t="s">
        <v>498</v>
      </c>
      <c r="E298" s="25"/>
      <c r="F298" s="25" t="str">
        <f t="shared" si="2"/>
        <v>TOGETIC</v>
      </c>
      <c r="G298" s="25" t="s">
        <v>1980</v>
      </c>
      <c r="H298" s="25" t="s">
        <v>1981</v>
      </c>
      <c r="I298" s="25" t="s">
        <v>1981</v>
      </c>
      <c r="J298" s="25" t="s">
        <v>1981</v>
      </c>
      <c r="K298" s="25" t="s">
        <v>1981</v>
      </c>
      <c r="L298" s="25" t="s">
        <v>1981</v>
      </c>
      <c r="M298" s="25" t="s">
        <v>1981</v>
      </c>
      <c r="N298" s="25" t="s">
        <v>1982</v>
      </c>
      <c r="O298" s="25" t="s">
        <v>1983</v>
      </c>
      <c r="P298" s="25" t="s">
        <v>1983</v>
      </c>
      <c r="Q298" s="25" t="s">
        <v>1981</v>
      </c>
    </row>
    <row r="299" spans="1:17" ht="25.5">
      <c r="A299" s="24" t="e">
        <f ca="1">MATCH(B299,UNIQUE($B$2:$B$1010),0)-1 &amp; ", " &amp; COUNTIF($B$2:B299,B299)-1</f>
        <v>#NAME?</v>
      </c>
      <c r="B299" s="24" t="s">
        <v>922</v>
      </c>
      <c r="C299" s="24">
        <v>177</v>
      </c>
      <c r="D299" s="25" t="s">
        <v>498</v>
      </c>
      <c r="E299" s="25"/>
      <c r="F299" s="25" t="str">
        <f t="shared" si="2"/>
        <v>NATU</v>
      </c>
      <c r="G299" s="25" t="s">
        <v>1984</v>
      </c>
      <c r="H299" s="25" t="s">
        <v>1985</v>
      </c>
      <c r="I299" s="25" t="s">
        <v>1985</v>
      </c>
      <c r="J299" s="25" t="s">
        <v>1985</v>
      </c>
      <c r="K299" s="25" t="s">
        <v>1985</v>
      </c>
      <c r="L299" s="25" t="s">
        <v>1985</v>
      </c>
      <c r="M299" s="25" t="s">
        <v>1985</v>
      </c>
      <c r="N299" s="25" t="s">
        <v>1986</v>
      </c>
      <c r="O299" s="25" t="s">
        <v>1987</v>
      </c>
      <c r="P299" s="25" t="s">
        <v>1987</v>
      </c>
      <c r="Q299" s="25" t="s">
        <v>1985</v>
      </c>
    </row>
    <row r="300" spans="1:17" ht="25.5">
      <c r="A300" s="24" t="e">
        <f ca="1">MATCH(B300,UNIQUE($B$2:$B$1010),0)-1 &amp; ", " &amp; COUNTIF($B$2:B300,B300)-1</f>
        <v>#NAME?</v>
      </c>
      <c r="B300" s="24" t="s">
        <v>922</v>
      </c>
      <c r="C300" s="24">
        <v>178</v>
      </c>
      <c r="D300" s="25" t="s">
        <v>498</v>
      </c>
      <c r="E300" s="25"/>
      <c r="F300" s="25" t="str">
        <f t="shared" si="2"/>
        <v>XATU</v>
      </c>
      <c r="G300" s="25" t="s">
        <v>1988</v>
      </c>
      <c r="H300" s="25" t="s">
        <v>1989</v>
      </c>
      <c r="I300" s="25" t="s">
        <v>1989</v>
      </c>
      <c r="J300" s="25" t="s">
        <v>1989</v>
      </c>
      <c r="K300" s="25" t="s">
        <v>1989</v>
      </c>
      <c r="L300" s="25" t="s">
        <v>1989</v>
      </c>
      <c r="M300" s="25" t="s">
        <v>1989</v>
      </c>
      <c r="N300" s="25" t="s">
        <v>1990</v>
      </c>
      <c r="O300" s="25" t="s">
        <v>1991</v>
      </c>
      <c r="P300" s="25" t="s">
        <v>1992</v>
      </c>
      <c r="Q300" s="25" t="s">
        <v>1989</v>
      </c>
    </row>
    <row r="301" spans="1:17" ht="25.5">
      <c r="A301" s="24" t="e">
        <f ca="1">MATCH(B301,UNIQUE($B$2:$B$1010),0)-1 &amp; ", " &amp; COUNTIF($B$2:B301,B301)-1</f>
        <v>#NAME?</v>
      </c>
      <c r="B301" s="24" t="s">
        <v>922</v>
      </c>
      <c r="C301" s="24">
        <v>179</v>
      </c>
      <c r="D301" s="25" t="s">
        <v>498</v>
      </c>
      <c r="E301" s="25"/>
      <c r="F301" s="25" t="str">
        <f t="shared" si="2"/>
        <v>MAREEP</v>
      </c>
      <c r="G301" s="25" t="s">
        <v>1993</v>
      </c>
      <c r="H301" s="25" t="s">
        <v>1994</v>
      </c>
      <c r="I301" s="25" t="s">
        <v>1995</v>
      </c>
      <c r="J301" s="25" t="s">
        <v>1996</v>
      </c>
      <c r="K301" s="25" t="s">
        <v>1994</v>
      </c>
      <c r="L301" s="25" t="s">
        <v>1994</v>
      </c>
      <c r="M301" s="25" t="s">
        <v>1994</v>
      </c>
      <c r="N301" s="25" t="s">
        <v>1997</v>
      </c>
      <c r="O301" s="25" t="s">
        <v>1998</v>
      </c>
      <c r="P301" s="25" t="s">
        <v>1998</v>
      </c>
      <c r="Q301" s="25" t="s">
        <v>1994</v>
      </c>
    </row>
    <row r="302" spans="1:17" ht="25.5">
      <c r="A302" s="24" t="e">
        <f ca="1">MATCH(B302,UNIQUE($B$2:$B$1010),0)-1 &amp; ", " &amp; COUNTIF($B$2:B302,B302)-1</f>
        <v>#NAME?</v>
      </c>
      <c r="B302" s="24" t="s">
        <v>922</v>
      </c>
      <c r="C302" s="24">
        <v>180</v>
      </c>
      <c r="D302" s="25" t="s">
        <v>498</v>
      </c>
      <c r="E302" s="25"/>
      <c r="F302" s="25" t="str">
        <f t="shared" si="2"/>
        <v>FLAAFFY</v>
      </c>
      <c r="G302" s="25" t="s">
        <v>1999</v>
      </c>
      <c r="H302" s="25" t="s">
        <v>2000</v>
      </c>
      <c r="I302" s="25" t="s">
        <v>2001</v>
      </c>
      <c r="J302" s="25" t="s">
        <v>2002</v>
      </c>
      <c r="K302" s="25" t="s">
        <v>2000</v>
      </c>
      <c r="L302" s="25" t="s">
        <v>2000</v>
      </c>
      <c r="M302" s="25" t="s">
        <v>2000</v>
      </c>
      <c r="N302" s="25" t="s">
        <v>2003</v>
      </c>
      <c r="O302" s="25" t="s">
        <v>2004</v>
      </c>
      <c r="P302" s="25" t="s">
        <v>2004</v>
      </c>
      <c r="Q302" s="25" t="s">
        <v>2000</v>
      </c>
    </row>
    <row r="303" spans="1:17" ht="25.5">
      <c r="A303" s="24" t="e">
        <f ca="1">MATCH(B303,UNIQUE($B$2:$B$1010),0)-1 &amp; ", " &amp; COUNTIF($B$2:B303,B303)-1</f>
        <v>#NAME?</v>
      </c>
      <c r="B303" s="24" t="s">
        <v>922</v>
      </c>
      <c r="C303" s="24">
        <v>181</v>
      </c>
      <c r="D303" s="25" t="s">
        <v>498</v>
      </c>
      <c r="E303" s="25"/>
      <c r="F303" s="25" t="str">
        <f t="shared" si="2"/>
        <v>AMPHAROS</v>
      </c>
      <c r="G303" s="25" t="s">
        <v>2005</v>
      </c>
      <c r="H303" s="25" t="s">
        <v>2006</v>
      </c>
      <c r="I303" s="25" t="s">
        <v>2007</v>
      </c>
      <c r="J303" s="25" t="s">
        <v>2006</v>
      </c>
      <c r="K303" s="25" t="s">
        <v>2006</v>
      </c>
      <c r="L303" s="25" t="s">
        <v>2006</v>
      </c>
      <c r="M303" s="25" t="s">
        <v>2006</v>
      </c>
      <c r="N303" s="25" t="s">
        <v>2008</v>
      </c>
      <c r="O303" s="25" t="s">
        <v>2009</v>
      </c>
      <c r="P303" s="25" t="s">
        <v>2010</v>
      </c>
      <c r="Q303" s="25" t="s">
        <v>2006</v>
      </c>
    </row>
    <row r="304" spans="1:17" ht="25.5">
      <c r="A304" s="24" t="e">
        <f ca="1">MATCH(B304,UNIQUE($B$2:$B$1010),0)-1 &amp; ", " &amp; COUNTIF($B$2:B304,B304)-1</f>
        <v>#NAME?</v>
      </c>
      <c r="B304" s="24" t="s">
        <v>922</v>
      </c>
      <c r="C304" s="24">
        <v>182</v>
      </c>
      <c r="D304" s="25" t="s">
        <v>498</v>
      </c>
      <c r="E304" s="25"/>
      <c r="F304" s="25" t="str">
        <f t="shared" si="2"/>
        <v>BELLOSSOM</v>
      </c>
      <c r="G304" s="25" t="s">
        <v>2011</v>
      </c>
      <c r="H304" s="25" t="s">
        <v>2012</v>
      </c>
      <c r="I304" s="25" t="s">
        <v>2013</v>
      </c>
      <c r="J304" s="25" t="s">
        <v>2014</v>
      </c>
      <c r="K304" s="25" t="s">
        <v>2012</v>
      </c>
      <c r="L304" s="25" t="s">
        <v>2012</v>
      </c>
      <c r="M304" s="25" t="s">
        <v>2012</v>
      </c>
      <c r="N304" s="25" t="s">
        <v>2015</v>
      </c>
      <c r="O304" s="25" t="s">
        <v>2016</v>
      </c>
      <c r="P304" s="25" t="s">
        <v>2017</v>
      </c>
      <c r="Q304" s="25" t="s">
        <v>2012</v>
      </c>
    </row>
    <row r="305" spans="1:17" ht="25.5">
      <c r="A305" s="24" t="e">
        <f ca="1">MATCH(B305,UNIQUE($B$2:$B$1010),0)-1 &amp; ", " &amp; COUNTIF($B$2:B305,B305)-1</f>
        <v>#NAME?</v>
      </c>
      <c r="B305" s="24" t="s">
        <v>922</v>
      </c>
      <c r="C305" s="24">
        <v>183</v>
      </c>
      <c r="D305" s="25" t="s">
        <v>498</v>
      </c>
      <c r="E305" s="25"/>
      <c r="F305" s="25" t="str">
        <f t="shared" si="2"/>
        <v>MARILL</v>
      </c>
      <c r="G305" s="25" t="s">
        <v>2018</v>
      </c>
      <c r="H305" s="25" t="s">
        <v>2019</v>
      </c>
      <c r="I305" s="25" t="s">
        <v>2019</v>
      </c>
      <c r="J305" s="25" t="s">
        <v>2019</v>
      </c>
      <c r="K305" s="25" t="s">
        <v>2019</v>
      </c>
      <c r="L305" s="25" t="s">
        <v>2019</v>
      </c>
      <c r="M305" s="25" t="s">
        <v>2019</v>
      </c>
      <c r="N305" s="25" t="s">
        <v>2020</v>
      </c>
      <c r="O305" s="25" t="s">
        <v>2021</v>
      </c>
      <c r="P305" s="25" t="s">
        <v>2022</v>
      </c>
      <c r="Q305" s="25" t="s">
        <v>2019</v>
      </c>
    </row>
    <row r="306" spans="1:17" ht="25.5">
      <c r="A306" s="24" t="e">
        <f ca="1">MATCH(B306,UNIQUE($B$2:$B$1010),0)-1 &amp; ", " &amp; COUNTIF($B$2:B306,B306)-1</f>
        <v>#NAME?</v>
      </c>
      <c r="B306" s="24" t="s">
        <v>922</v>
      </c>
      <c r="C306" s="24">
        <v>184</v>
      </c>
      <c r="D306" s="25" t="s">
        <v>498</v>
      </c>
      <c r="E306" s="25"/>
      <c r="F306" s="25" t="str">
        <f t="shared" si="2"/>
        <v>AZUMARILL</v>
      </c>
      <c r="G306" s="25" t="s">
        <v>2023</v>
      </c>
      <c r="H306" s="25" t="s">
        <v>2024</v>
      </c>
      <c r="I306" s="25" t="s">
        <v>2024</v>
      </c>
      <c r="J306" s="25" t="s">
        <v>2024</v>
      </c>
      <c r="K306" s="25" t="s">
        <v>2024</v>
      </c>
      <c r="L306" s="25" t="s">
        <v>2024</v>
      </c>
      <c r="M306" s="25" t="s">
        <v>2024</v>
      </c>
      <c r="N306" s="25" t="s">
        <v>2025</v>
      </c>
      <c r="O306" s="25" t="s">
        <v>2026</v>
      </c>
      <c r="P306" s="25" t="s">
        <v>2027</v>
      </c>
      <c r="Q306" s="25" t="s">
        <v>2024</v>
      </c>
    </row>
    <row r="307" spans="1:17" ht="25.5">
      <c r="A307" s="24" t="e">
        <f ca="1">MATCH(B307,UNIQUE($B$2:$B$1010),0)-1 &amp; ", " &amp; COUNTIF($B$2:B307,B307)-1</f>
        <v>#NAME?</v>
      </c>
      <c r="B307" s="24" t="s">
        <v>922</v>
      </c>
      <c r="C307" s="24">
        <v>185</v>
      </c>
      <c r="D307" s="25" t="s">
        <v>498</v>
      </c>
      <c r="E307" s="25"/>
      <c r="F307" s="25" t="str">
        <f t="shared" si="2"/>
        <v>SUDOWOODO</v>
      </c>
      <c r="G307" s="25" t="s">
        <v>2028</v>
      </c>
      <c r="H307" s="25" t="s">
        <v>2029</v>
      </c>
      <c r="I307" s="25" t="s">
        <v>2030</v>
      </c>
      <c r="J307" s="25" t="s">
        <v>2031</v>
      </c>
      <c r="K307" s="25" t="s">
        <v>2029</v>
      </c>
      <c r="L307" s="25" t="s">
        <v>2029</v>
      </c>
      <c r="M307" s="25" t="s">
        <v>2029</v>
      </c>
      <c r="N307" s="25" t="s">
        <v>2032</v>
      </c>
      <c r="O307" s="25" t="s">
        <v>2033</v>
      </c>
      <c r="P307" s="25" t="s">
        <v>2034</v>
      </c>
      <c r="Q307" s="25" t="s">
        <v>2029</v>
      </c>
    </row>
    <row r="308" spans="1:17" ht="25.5">
      <c r="A308" s="24" t="e">
        <f ca="1">MATCH(B308,UNIQUE($B$2:$B$1010),0)-1 &amp; ", " &amp; COUNTIF($B$2:B308,B308)-1</f>
        <v>#NAME?</v>
      </c>
      <c r="B308" s="24" t="s">
        <v>922</v>
      </c>
      <c r="C308" s="24">
        <v>186</v>
      </c>
      <c r="D308" s="25" t="s">
        <v>498</v>
      </c>
      <c r="E308" s="25"/>
      <c r="F308" s="25" t="str">
        <f t="shared" si="2"/>
        <v>POLITOED</v>
      </c>
      <c r="G308" s="25" t="s">
        <v>2035</v>
      </c>
      <c r="H308" s="25" t="s">
        <v>2036</v>
      </c>
      <c r="I308" s="25" t="s">
        <v>2037</v>
      </c>
      <c r="J308" s="25" t="s">
        <v>2038</v>
      </c>
      <c r="K308" s="25" t="s">
        <v>2036</v>
      </c>
      <c r="L308" s="25" t="s">
        <v>2036</v>
      </c>
      <c r="M308" s="25" t="s">
        <v>2036</v>
      </c>
      <c r="N308" s="25" t="s">
        <v>2039</v>
      </c>
      <c r="O308" s="25" t="s">
        <v>2040</v>
      </c>
      <c r="P308" s="25" t="s">
        <v>2040</v>
      </c>
      <c r="Q308" s="25" t="s">
        <v>2036</v>
      </c>
    </row>
    <row r="309" spans="1:17" ht="25.5">
      <c r="A309" s="24" t="e">
        <f ca="1">MATCH(B309,UNIQUE($B$2:$B$1010),0)-1 &amp; ", " &amp; COUNTIF($B$2:B309,B309)-1</f>
        <v>#NAME?</v>
      </c>
      <c r="B309" s="24" t="s">
        <v>922</v>
      </c>
      <c r="C309" s="24">
        <v>187</v>
      </c>
      <c r="D309" s="25" t="s">
        <v>498</v>
      </c>
      <c r="E309" s="25"/>
      <c r="F309" s="25" t="str">
        <f t="shared" si="2"/>
        <v>HOPPIP</v>
      </c>
      <c r="G309" s="25" t="s">
        <v>2041</v>
      </c>
      <c r="H309" s="25" t="s">
        <v>2042</v>
      </c>
      <c r="I309" s="25" t="s">
        <v>2043</v>
      </c>
      <c r="J309" s="25" t="s">
        <v>2044</v>
      </c>
      <c r="K309" s="25" t="s">
        <v>2042</v>
      </c>
      <c r="L309" s="25" t="s">
        <v>2042</v>
      </c>
      <c r="M309" s="25" t="s">
        <v>2042</v>
      </c>
      <c r="N309" s="25" t="s">
        <v>2045</v>
      </c>
      <c r="O309" s="25" t="s">
        <v>2046</v>
      </c>
      <c r="P309" s="25" t="s">
        <v>2046</v>
      </c>
      <c r="Q309" s="25" t="s">
        <v>2042</v>
      </c>
    </row>
    <row r="310" spans="1:17" ht="25.5">
      <c r="A310" s="24" t="e">
        <f ca="1">MATCH(B310,UNIQUE($B$2:$B$1010),0)-1 &amp; ", " &amp; COUNTIF($B$2:B310,B310)-1</f>
        <v>#NAME?</v>
      </c>
      <c r="B310" s="24" t="s">
        <v>922</v>
      </c>
      <c r="C310" s="24">
        <v>188</v>
      </c>
      <c r="D310" s="25" t="s">
        <v>498</v>
      </c>
      <c r="E310" s="25"/>
      <c r="F310" s="25" t="str">
        <f t="shared" si="2"/>
        <v>SKIPLOOM</v>
      </c>
      <c r="G310" s="25" t="s">
        <v>2047</v>
      </c>
      <c r="H310" s="25" t="s">
        <v>2048</v>
      </c>
      <c r="I310" s="25" t="s">
        <v>2049</v>
      </c>
      <c r="J310" s="25" t="s">
        <v>2050</v>
      </c>
      <c r="K310" s="25" t="s">
        <v>2048</v>
      </c>
      <c r="L310" s="25" t="s">
        <v>2048</v>
      </c>
      <c r="M310" s="25" t="s">
        <v>2048</v>
      </c>
      <c r="N310" s="25" t="s">
        <v>2051</v>
      </c>
      <c r="O310" s="25" t="s">
        <v>2052</v>
      </c>
      <c r="P310" s="25" t="s">
        <v>2052</v>
      </c>
      <c r="Q310" s="25" t="s">
        <v>2048</v>
      </c>
    </row>
    <row r="311" spans="1:17" ht="25.5">
      <c r="A311" s="24" t="e">
        <f ca="1">MATCH(B311,UNIQUE($B$2:$B$1010),0)-1 &amp; ", " &amp; COUNTIF($B$2:B311,B311)-1</f>
        <v>#NAME?</v>
      </c>
      <c r="B311" s="24" t="s">
        <v>922</v>
      </c>
      <c r="C311" s="24">
        <v>189</v>
      </c>
      <c r="D311" s="25" t="s">
        <v>498</v>
      </c>
      <c r="E311" s="25"/>
      <c r="F311" s="25" t="str">
        <f t="shared" si="2"/>
        <v>JUMPLUFF</v>
      </c>
      <c r="G311" s="25" t="s">
        <v>2053</v>
      </c>
      <c r="H311" s="25" t="s">
        <v>2054</v>
      </c>
      <c r="I311" s="25" t="s">
        <v>2055</v>
      </c>
      <c r="J311" s="25" t="s">
        <v>2056</v>
      </c>
      <c r="K311" s="25" t="s">
        <v>2054</v>
      </c>
      <c r="L311" s="25" t="s">
        <v>2054</v>
      </c>
      <c r="M311" s="25" t="s">
        <v>2054</v>
      </c>
      <c r="N311" s="25" t="s">
        <v>2057</v>
      </c>
      <c r="O311" s="25" t="s">
        <v>2058</v>
      </c>
      <c r="P311" s="25" t="s">
        <v>2058</v>
      </c>
      <c r="Q311" s="25" t="s">
        <v>2054</v>
      </c>
    </row>
    <row r="312" spans="1:17" ht="25.5">
      <c r="A312" s="24" t="e">
        <f ca="1">MATCH(B312,UNIQUE($B$2:$B$1010),0)-1 &amp; ", " &amp; COUNTIF($B$2:B312,B312)-1</f>
        <v>#NAME?</v>
      </c>
      <c r="B312" s="24" t="s">
        <v>922</v>
      </c>
      <c r="C312" s="24">
        <v>190</v>
      </c>
      <c r="D312" s="25" t="s">
        <v>498</v>
      </c>
      <c r="E312" s="25"/>
      <c r="F312" s="25" t="str">
        <f t="shared" si="2"/>
        <v>AIPOM</v>
      </c>
      <c r="G312" s="25" t="s">
        <v>2059</v>
      </c>
      <c r="H312" s="25" t="s">
        <v>2060</v>
      </c>
      <c r="I312" s="25" t="s">
        <v>2061</v>
      </c>
      <c r="J312" s="25" t="s">
        <v>2062</v>
      </c>
      <c r="K312" s="25" t="s">
        <v>2060</v>
      </c>
      <c r="L312" s="25" t="s">
        <v>2060</v>
      </c>
      <c r="M312" s="25" t="s">
        <v>2060</v>
      </c>
      <c r="N312" s="25" t="s">
        <v>2063</v>
      </c>
      <c r="O312" s="25" t="s">
        <v>2064</v>
      </c>
      <c r="P312" s="25" t="s">
        <v>2065</v>
      </c>
      <c r="Q312" s="25" t="s">
        <v>2060</v>
      </c>
    </row>
    <row r="313" spans="1:17" ht="25.5">
      <c r="A313" s="24" t="e">
        <f ca="1">MATCH(B313,UNIQUE($B$2:$B$1010),0)-1 &amp; ", " &amp; COUNTIF($B$2:B313,B313)-1</f>
        <v>#NAME?</v>
      </c>
      <c r="B313" s="24" t="s">
        <v>922</v>
      </c>
      <c r="C313" s="24">
        <v>191</v>
      </c>
      <c r="D313" s="25" t="s">
        <v>498</v>
      </c>
      <c r="E313" s="25"/>
      <c r="F313" s="25" t="str">
        <f t="shared" si="2"/>
        <v>SUNKERN</v>
      </c>
      <c r="G313" s="25" t="s">
        <v>2066</v>
      </c>
      <c r="H313" s="25" t="s">
        <v>2067</v>
      </c>
      <c r="I313" s="25" t="s">
        <v>2068</v>
      </c>
      <c r="J313" s="25" t="s">
        <v>2069</v>
      </c>
      <c r="K313" s="25" t="s">
        <v>2067</v>
      </c>
      <c r="L313" s="25" t="s">
        <v>2067</v>
      </c>
      <c r="M313" s="25" t="s">
        <v>2067</v>
      </c>
      <c r="N313" s="25" t="s">
        <v>2070</v>
      </c>
      <c r="O313" s="25" t="s">
        <v>2071</v>
      </c>
      <c r="P313" s="25" t="s">
        <v>2072</v>
      </c>
      <c r="Q313" s="25" t="s">
        <v>2067</v>
      </c>
    </row>
    <row r="314" spans="1:17" ht="25.5">
      <c r="A314" s="24" t="e">
        <f ca="1">MATCH(B314,UNIQUE($B$2:$B$1010),0)-1 &amp; ", " &amp; COUNTIF($B$2:B314,B314)-1</f>
        <v>#NAME?</v>
      </c>
      <c r="B314" s="24" t="s">
        <v>922</v>
      </c>
      <c r="C314" s="24">
        <v>192</v>
      </c>
      <c r="D314" s="25" t="s">
        <v>498</v>
      </c>
      <c r="E314" s="25"/>
      <c r="F314" s="25" t="str">
        <f t="shared" si="2"/>
        <v>SUNFLORA</v>
      </c>
      <c r="G314" s="25" t="s">
        <v>2073</v>
      </c>
      <c r="H314" s="25" t="s">
        <v>2074</v>
      </c>
      <c r="I314" s="25" t="s">
        <v>2075</v>
      </c>
      <c r="J314" s="25" t="s">
        <v>2076</v>
      </c>
      <c r="K314" s="25" t="s">
        <v>2074</v>
      </c>
      <c r="L314" s="25" t="s">
        <v>2074</v>
      </c>
      <c r="M314" s="25" t="s">
        <v>2074</v>
      </c>
      <c r="N314" s="25" t="s">
        <v>2077</v>
      </c>
      <c r="O314" s="25" t="s">
        <v>2078</v>
      </c>
      <c r="P314" s="25" t="s">
        <v>2078</v>
      </c>
      <c r="Q314" s="25" t="s">
        <v>2074</v>
      </c>
    </row>
    <row r="315" spans="1:17" ht="25.5">
      <c r="A315" s="24" t="e">
        <f ca="1">MATCH(B315,UNIQUE($B$2:$B$1010),0)-1 &amp; ", " &amp; COUNTIF($B$2:B315,B315)-1</f>
        <v>#NAME?</v>
      </c>
      <c r="B315" s="24" t="s">
        <v>922</v>
      </c>
      <c r="C315" s="24">
        <v>193</v>
      </c>
      <c r="D315" s="25" t="s">
        <v>498</v>
      </c>
      <c r="E315" s="25"/>
      <c r="F315" s="25" t="str">
        <f t="shared" si="2"/>
        <v>YANMA</v>
      </c>
      <c r="G315" s="25" t="s">
        <v>2079</v>
      </c>
      <c r="H315" s="25" t="s">
        <v>2080</v>
      </c>
      <c r="I315" s="25" t="s">
        <v>2080</v>
      </c>
      <c r="J315" s="25" t="s">
        <v>2080</v>
      </c>
      <c r="K315" s="25" t="s">
        <v>2080</v>
      </c>
      <c r="L315" s="25" t="s">
        <v>2080</v>
      </c>
      <c r="M315" s="25" t="s">
        <v>2080</v>
      </c>
      <c r="N315" s="25" t="s">
        <v>2081</v>
      </c>
      <c r="O315" s="25" t="s">
        <v>2082</v>
      </c>
      <c r="P315" s="25" t="s">
        <v>2082</v>
      </c>
      <c r="Q315" s="25" t="s">
        <v>2080</v>
      </c>
    </row>
    <row r="316" spans="1:17" ht="25.5">
      <c r="A316" s="24" t="e">
        <f ca="1">MATCH(B316,UNIQUE($B$2:$B$1010),0)-1 &amp; ", " &amp; COUNTIF($B$2:B316,B316)-1</f>
        <v>#NAME?</v>
      </c>
      <c r="B316" s="24" t="s">
        <v>922</v>
      </c>
      <c r="C316" s="24">
        <v>194</v>
      </c>
      <c r="D316" s="25" t="s">
        <v>498</v>
      </c>
      <c r="E316" s="25"/>
      <c r="F316" s="25" t="str">
        <f t="shared" si="2"/>
        <v>WOOPER</v>
      </c>
      <c r="G316" s="25" t="s">
        <v>2083</v>
      </c>
      <c r="H316" s="25" t="s">
        <v>2084</v>
      </c>
      <c r="I316" s="25" t="s">
        <v>2085</v>
      </c>
      <c r="J316" s="25" t="s">
        <v>2086</v>
      </c>
      <c r="K316" s="25" t="s">
        <v>2084</v>
      </c>
      <c r="L316" s="25" t="s">
        <v>2084</v>
      </c>
      <c r="M316" s="25" t="s">
        <v>2084</v>
      </c>
      <c r="N316" s="25" t="s">
        <v>2087</v>
      </c>
      <c r="O316" s="25" t="s">
        <v>2088</v>
      </c>
      <c r="P316" s="25" t="s">
        <v>2089</v>
      </c>
      <c r="Q316" s="25" t="s">
        <v>2084</v>
      </c>
    </row>
    <row r="317" spans="1:17" ht="25.5">
      <c r="A317" s="24" t="e">
        <f ca="1">MATCH(B317,UNIQUE($B$2:$B$1010),0)-1 &amp; ", " &amp; COUNTIF($B$2:B317,B317)-1</f>
        <v>#NAME?</v>
      </c>
      <c r="B317" s="24" t="s">
        <v>922</v>
      </c>
      <c r="C317" s="24">
        <v>195</v>
      </c>
      <c r="D317" s="25" t="s">
        <v>498</v>
      </c>
      <c r="E317" s="25"/>
      <c r="F317" s="25" t="str">
        <f t="shared" si="2"/>
        <v>QUAGSIRE</v>
      </c>
      <c r="G317" s="25" t="s">
        <v>2090</v>
      </c>
      <c r="H317" s="25" t="s">
        <v>2091</v>
      </c>
      <c r="I317" s="25" t="s">
        <v>2092</v>
      </c>
      <c r="J317" s="25" t="s">
        <v>2093</v>
      </c>
      <c r="K317" s="25" t="s">
        <v>2091</v>
      </c>
      <c r="L317" s="25" t="s">
        <v>2091</v>
      </c>
      <c r="M317" s="25" t="s">
        <v>2091</v>
      </c>
      <c r="N317" s="25" t="s">
        <v>2094</v>
      </c>
      <c r="O317" s="25" t="s">
        <v>2095</v>
      </c>
      <c r="P317" s="25" t="s">
        <v>2095</v>
      </c>
      <c r="Q317" s="25" t="s">
        <v>2091</v>
      </c>
    </row>
    <row r="318" spans="1:17" ht="25.5">
      <c r="A318" s="24" t="e">
        <f ca="1">MATCH(B318,UNIQUE($B$2:$B$1010),0)-1 &amp; ", " &amp; COUNTIF($B$2:B318,B318)-1</f>
        <v>#NAME?</v>
      </c>
      <c r="B318" s="24" t="s">
        <v>922</v>
      </c>
      <c r="C318" s="24">
        <v>196</v>
      </c>
      <c r="D318" s="25" t="s">
        <v>498</v>
      </c>
      <c r="E318" s="25"/>
      <c r="F318" s="25" t="str">
        <f t="shared" si="2"/>
        <v>ESPEON</v>
      </c>
      <c r="G318" s="25" t="s">
        <v>2096</v>
      </c>
      <c r="H318" s="25" t="s">
        <v>2097</v>
      </c>
      <c r="I318" s="25" t="s">
        <v>2098</v>
      </c>
      <c r="J318" s="25" t="s">
        <v>2099</v>
      </c>
      <c r="K318" s="25" t="s">
        <v>2097</v>
      </c>
      <c r="L318" s="25" t="s">
        <v>2097</v>
      </c>
      <c r="M318" s="25" t="s">
        <v>2097</v>
      </c>
      <c r="N318" s="25" t="s">
        <v>2100</v>
      </c>
      <c r="O318" s="25" t="s">
        <v>2101</v>
      </c>
      <c r="P318" s="25" t="s">
        <v>2102</v>
      </c>
      <c r="Q318" s="25" t="s">
        <v>2097</v>
      </c>
    </row>
    <row r="319" spans="1:17" ht="25.5">
      <c r="A319" s="24" t="e">
        <f ca="1">MATCH(B319,UNIQUE($B$2:$B$1010),0)-1 &amp; ", " &amp; COUNTIF($B$2:B319,B319)-1</f>
        <v>#NAME?</v>
      </c>
      <c r="B319" s="24" t="s">
        <v>922</v>
      </c>
      <c r="C319" s="24">
        <v>197</v>
      </c>
      <c r="D319" s="25" t="s">
        <v>498</v>
      </c>
      <c r="E319" s="25"/>
      <c r="F319" s="25" t="str">
        <f t="shared" si="2"/>
        <v>UMBREON</v>
      </c>
      <c r="G319" s="25" t="s">
        <v>2103</v>
      </c>
      <c r="H319" s="25" t="s">
        <v>2104</v>
      </c>
      <c r="I319" s="25" t="s">
        <v>2105</v>
      </c>
      <c r="J319" s="25" t="s">
        <v>2106</v>
      </c>
      <c r="K319" s="25" t="s">
        <v>2104</v>
      </c>
      <c r="L319" s="25" t="s">
        <v>2104</v>
      </c>
      <c r="M319" s="25" t="s">
        <v>2104</v>
      </c>
      <c r="N319" s="25" t="s">
        <v>2107</v>
      </c>
      <c r="O319" s="25" t="s">
        <v>2108</v>
      </c>
      <c r="P319" s="25" t="s">
        <v>2108</v>
      </c>
      <c r="Q319" s="25" t="s">
        <v>2104</v>
      </c>
    </row>
    <row r="320" spans="1:17" ht="25.5">
      <c r="A320" s="24" t="e">
        <f ca="1">MATCH(B320,UNIQUE($B$2:$B$1010),0)-1 &amp; ", " &amp; COUNTIF($B$2:B320,B320)-1</f>
        <v>#NAME?</v>
      </c>
      <c r="B320" s="24" t="s">
        <v>922</v>
      </c>
      <c r="C320" s="24">
        <v>198</v>
      </c>
      <c r="D320" s="25" t="s">
        <v>498</v>
      </c>
      <c r="E320" s="25"/>
      <c r="F320" s="25" t="str">
        <f t="shared" si="2"/>
        <v>MURKROW</v>
      </c>
      <c r="G320" s="25" t="s">
        <v>2109</v>
      </c>
      <c r="H320" s="25" t="s">
        <v>2110</v>
      </c>
      <c r="I320" s="25" t="s">
        <v>2111</v>
      </c>
      <c r="J320" s="25" t="s">
        <v>2112</v>
      </c>
      <c r="K320" s="25" t="s">
        <v>2110</v>
      </c>
      <c r="L320" s="25" t="s">
        <v>2110</v>
      </c>
      <c r="M320" s="25" t="s">
        <v>2110</v>
      </c>
      <c r="N320" s="25" t="s">
        <v>2113</v>
      </c>
      <c r="O320" s="25" t="s">
        <v>2114</v>
      </c>
      <c r="P320" s="25" t="s">
        <v>2115</v>
      </c>
      <c r="Q320" s="25" t="s">
        <v>2110</v>
      </c>
    </row>
    <row r="321" spans="1:17" ht="25.5">
      <c r="A321" s="24" t="e">
        <f ca="1">MATCH(B321,UNIQUE($B$2:$B$1010),0)-1 &amp; ", " &amp; COUNTIF($B$2:B321,B321)-1</f>
        <v>#NAME?</v>
      </c>
      <c r="B321" s="24" t="s">
        <v>922</v>
      </c>
      <c r="C321" s="24">
        <v>199</v>
      </c>
      <c r="D321" s="25" t="s">
        <v>498</v>
      </c>
      <c r="E321" s="25"/>
      <c r="F321" s="25" t="str">
        <f t="shared" si="2"/>
        <v>SLOWKING</v>
      </c>
      <c r="G321" s="25" t="s">
        <v>2116</v>
      </c>
      <c r="H321" s="25" t="s">
        <v>2117</v>
      </c>
      <c r="I321" s="25" t="s">
        <v>2118</v>
      </c>
      <c r="J321" s="25" t="s">
        <v>2119</v>
      </c>
      <c r="K321" s="25" t="s">
        <v>2117</v>
      </c>
      <c r="L321" s="25" t="s">
        <v>2117</v>
      </c>
      <c r="M321" s="25" t="s">
        <v>2117</v>
      </c>
      <c r="N321" s="25" t="s">
        <v>2120</v>
      </c>
      <c r="O321" s="25" t="s">
        <v>2121</v>
      </c>
      <c r="P321" s="25" t="s">
        <v>2121</v>
      </c>
      <c r="Q321" s="25" t="s">
        <v>2117</v>
      </c>
    </row>
    <row r="322" spans="1:17" ht="25.5">
      <c r="A322" s="24" t="e">
        <f ca="1">MATCH(B322,UNIQUE($B$2:$B$1010),0)-1 &amp; ", " &amp; COUNTIF($B$2:B322,B322)-1</f>
        <v>#NAME?</v>
      </c>
      <c r="B322" s="24" t="s">
        <v>922</v>
      </c>
      <c r="C322" s="24">
        <v>200</v>
      </c>
      <c r="D322" s="25" t="s">
        <v>498</v>
      </c>
      <c r="E322" s="25"/>
      <c r="F322" s="25" t="str">
        <f t="shared" si="2"/>
        <v>MISDREAVUS</v>
      </c>
      <c r="G322" s="25" t="s">
        <v>2122</v>
      </c>
      <c r="H322" s="25" t="s">
        <v>2123</v>
      </c>
      <c r="I322" s="25" t="s">
        <v>2124</v>
      </c>
      <c r="J322" s="25" t="s">
        <v>2125</v>
      </c>
      <c r="K322" s="25" t="s">
        <v>2123</v>
      </c>
      <c r="L322" s="25" t="s">
        <v>2123</v>
      </c>
      <c r="M322" s="25" t="s">
        <v>2123</v>
      </c>
      <c r="N322" s="25" t="s">
        <v>2126</v>
      </c>
      <c r="O322" s="25" t="s">
        <v>2127</v>
      </c>
      <c r="P322" s="25" t="s">
        <v>2128</v>
      </c>
      <c r="Q322" s="25" t="s">
        <v>2123</v>
      </c>
    </row>
    <row r="323" spans="1:17" ht="25.5">
      <c r="A323" s="24" t="e">
        <f ca="1">MATCH(B323,UNIQUE($B$2:$B$1010),0)-1 &amp; ", " &amp; COUNTIF($B$2:B323,B323)-1</f>
        <v>#NAME?</v>
      </c>
      <c r="B323" s="24" t="s">
        <v>922</v>
      </c>
      <c r="C323" s="24">
        <v>201</v>
      </c>
      <c r="D323" s="25" t="s">
        <v>498</v>
      </c>
      <c r="E323" s="25"/>
      <c r="F323" s="25" t="str">
        <f t="shared" si="2"/>
        <v>UNOWN</v>
      </c>
      <c r="G323" s="25" t="s">
        <v>2129</v>
      </c>
      <c r="H323" s="25" t="s">
        <v>2130</v>
      </c>
      <c r="I323" s="25" t="s">
        <v>2131</v>
      </c>
      <c r="J323" s="25" t="s">
        <v>2132</v>
      </c>
      <c r="K323" s="25" t="s">
        <v>2130</v>
      </c>
      <c r="L323" s="25" t="s">
        <v>2130</v>
      </c>
      <c r="M323" s="25" t="s">
        <v>2130</v>
      </c>
      <c r="N323" s="25" t="s">
        <v>2133</v>
      </c>
      <c r="O323" s="25" t="s">
        <v>2134</v>
      </c>
      <c r="P323" s="25" t="s">
        <v>2135</v>
      </c>
      <c r="Q323" s="25" t="s">
        <v>2130</v>
      </c>
    </row>
    <row r="324" spans="1:17" ht="25.5">
      <c r="A324" s="24" t="e">
        <f ca="1">MATCH(B324,UNIQUE($B$2:$B$1010),0)-1 &amp; ", " &amp; COUNTIF($B$2:B324,B324)-1</f>
        <v>#NAME?</v>
      </c>
      <c r="B324" s="24" t="s">
        <v>922</v>
      </c>
      <c r="C324" s="24">
        <v>202</v>
      </c>
      <c r="D324" s="25" t="s">
        <v>498</v>
      </c>
      <c r="E324" s="25"/>
      <c r="F324" s="25" t="str">
        <f t="shared" si="2"/>
        <v>WOBBUFFET</v>
      </c>
      <c r="G324" s="25" t="s">
        <v>2136</v>
      </c>
      <c r="H324" s="25" t="s">
        <v>2137</v>
      </c>
      <c r="I324" s="25" t="s">
        <v>2138</v>
      </c>
      <c r="J324" s="25" t="s">
        <v>2139</v>
      </c>
      <c r="K324" s="25" t="s">
        <v>2137</v>
      </c>
      <c r="L324" s="25" t="s">
        <v>2137</v>
      </c>
      <c r="M324" s="25" t="s">
        <v>2137</v>
      </c>
      <c r="N324" s="25" t="s">
        <v>2140</v>
      </c>
      <c r="O324" s="25" t="s">
        <v>2141</v>
      </c>
      <c r="P324" s="25" t="s">
        <v>2141</v>
      </c>
      <c r="Q324" s="25" t="s">
        <v>2137</v>
      </c>
    </row>
    <row r="325" spans="1:17" ht="25.5">
      <c r="A325" s="24" t="e">
        <f ca="1">MATCH(B325,UNIQUE($B$2:$B$1010),0)-1 &amp; ", " &amp; COUNTIF($B$2:B325,B325)-1</f>
        <v>#NAME?</v>
      </c>
      <c r="B325" s="24" t="s">
        <v>922</v>
      </c>
      <c r="C325" s="24">
        <v>203</v>
      </c>
      <c r="D325" s="25" t="s">
        <v>498</v>
      </c>
      <c r="E325" s="25"/>
      <c r="F325" s="25" t="str">
        <f t="shared" si="2"/>
        <v>GIRAFARIG</v>
      </c>
      <c r="G325" s="25" t="s">
        <v>2142</v>
      </c>
      <c r="H325" s="25" t="s">
        <v>2143</v>
      </c>
      <c r="I325" s="25" t="s">
        <v>2143</v>
      </c>
      <c r="J325" s="25" t="s">
        <v>2143</v>
      </c>
      <c r="K325" s="25" t="s">
        <v>2143</v>
      </c>
      <c r="L325" s="25" t="s">
        <v>2143</v>
      </c>
      <c r="M325" s="25" t="s">
        <v>2143</v>
      </c>
      <c r="N325" s="25" t="s">
        <v>2144</v>
      </c>
      <c r="O325" s="25" t="s">
        <v>2145</v>
      </c>
      <c r="P325" s="25" t="s">
        <v>2145</v>
      </c>
      <c r="Q325" s="25" t="s">
        <v>2143</v>
      </c>
    </row>
    <row r="326" spans="1:17" ht="25.5">
      <c r="A326" s="24" t="e">
        <f ca="1">MATCH(B326,UNIQUE($B$2:$B$1010),0)-1 &amp; ", " &amp; COUNTIF($B$2:B326,B326)-1</f>
        <v>#NAME?</v>
      </c>
      <c r="B326" s="24" t="s">
        <v>922</v>
      </c>
      <c r="C326" s="24">
        <v>204</v>
      </c>
      <c r="D326" s="25" t="s">
        <v>498</v>
      </c>
      <c r="E326" s="25"/>
      <c r="F326" s="25" t="str">
        <f t="shared" si="2"/>
        <v>PINECO</v>
      </c>
      <c r="G326" s="25" t="s">
        <v>2146</v>
      </c>
      <c r="H326" s="25" t="s">
        <v>2147</v>
      </c>
      <c r="I326" s="25" t="s">
        <v>2148</v>
      </c>
      <c r="J326" s="25" t="s">
        <v>2149</v>
      </c>
      <c r="K326" s="25" t="s">
        <v>2147</v>
      </c>
      <c r="L326" s="25" t="s">
        <v>2147</v>
      </c>
      <c r="M326" s="25" t="s">
        <v>2147</v>
      </c>
      <c r="N326" s="25" t="s">
        <v>2150</v>
      </c>
      <c r="O326" s="25" t="s">
        <v>2151</v>
      </c>
      <c r="P326" s="25" t="s">
        <v>2151</v>
      </c>
      <c r="Q326" s="25" t="s">
        <v>2147</v>
      </c>
    </row>
    <row r="327" spans="1:17" ht="25.5">
      <c r="A327" s="24" t="e">
        <f ca="1">MATCH(B327,UNIQUE($B$2:$B$1010),0)-1 &amp; ", " &amp; COUNTIF($B$2:B327,B327)-1</f>
        <v>#NAME?</v>
      </c>
      <c r="B327" s="24" t="s">
        <v>922</v>
      </c>
      <c r="C327" s="24">
        <v>205</v>
      </c>
      <c r="D327" s="25" t="s">
        <v>498</v>
      </c>
      <c r="E327" s="25"/>
      <c r="F327" s="25" t="str">
        <f t="shared" si="2"/>
        <v>FORRETRESS</v>
      </c>
      <c r="G327" s="25" t="s">
        <v>2152</v>
      </c>
      <c r="H327" s="25" t="s">
        <v>2153</v>
      </c>
      <c r="I327" s="25" t="s">
        <v>2154</v>
      </c>
      <c r="J327" s="25" t="s">
        <v>2155</v>
      </c>
      <c r="K327" s="25" t="s">
        <v>2153</v>
      </c>
      <c r="L327" s="25" t="s">
        <v>2153</v>
      </c>
      <c r="M327" s="25" t="s">
        <v>2153</v>
      </c>
      <c r="N327" s="25" t="s">
        <v>2156</v>
      </c>
      <c r="O327" s="25" t="s">
        <v>2157</v>
      </c>
      <c r="P327" s="25" t="s">
        <v>2157</v>
      </c>
      <c r="Q327" s="25" t="s">
        <v>2153</v>
      </c>
    </row>
    <row r="328" spans="1:17" ht="25.5">
      <c r="A328" s="24" t="e">
        <f ca="1">MATCH(B328,UNIQUE($B$2:$B$1010),0)-1 &amp; ", " &amp; COUNTIF($B$2:B328,B328)-1</f>
        <v>#NAME?</v>
      </c>
      <c r="B328" s="24" t="s">
        <v>922</v>
      </c>
      <c r="C328" s="24">
        <v>206</v>
      </c>
      <c r="D328" s="25" t="s">
        <v>498</v>
      </c>
      <c r="E328" s="25"/>
      <c r="F328" s="25" t="str">
        <f t="shared" si="2"/>
        <v>DUNSPARCE</v>
      </c>
      <c r="G328" s="25" t="s">
        <v>2158</v>
      </c>
      <c r="H328" s="25" t="s">
        <v>2159</v>
      </c>
      <c r="I328" s="25" t="s">
        <v>2160</v>
      </c>
      <c r="J328" s="25" t="s">
        <v>2161</v>
      </c>
      <c r="K328" s="25" t="s">
        <v>2159</v>
      </c>
      <c r="L328" s="25" t="s">
        <v>2159</v>
      </c>
      <c r="M328" s="25" t="s">
        <v>2159</v>
      </c>
      <c r="N328" s="25" t="s">
        <v>2162</v>
      </c>
      <c r="O328" s="25" t="s">
        <v>2163</v>
      </c>
      <c r="P328" s="25" t="s">
        <v>2164</v>
      </c>
      <c r="Q328" s="25" t="s">
        <v>2159</v>
      </c>
    </row>
    <row r="329" spans="1:17" ht="25.5">
      <c r="A329" s="24" t="e">
        <f ca="1">MATCH(B329,UNIQUE($B$2:$B$1010),0)-1 &amp; ", " &amp; COUNTIF($B$2:B329,B329)-1</f>
        <v>#NAME?</v>
      </c>
      <c r="B329" s="24" t="s">
        <v>922</v>
      </c>
      <c r="C329" s="24">
        <v>207</v>
      </c>
      <c r="D329" s="25" t="s">
        <v>498</v>
      </c>
      <c r="E329" s="25"/>
      <c r="F329" s="25" t="str">
        <f t="shared" si="2"/>
        <v>GLIGAR</v>
      </c>
      <c r="G329" s="25" t="s">
        <v>2165</v>
      </c>
      <c r="H329" s="25" t="s">
        <v>2166</v>
      </c>
      <c r="I329" s="25" t="s">
        <v>2167</v>
      </c>
      <c r="J329" s="25" t="s">
        <v>2168</v>
      </c>
      <c r="K329" s="25" t="s">
        <v>2166</v>
      </c>
      <c r="L329" s="25" t="s">
        <v>2166</v>
      </c>
      <c r="M329" s="25" t="s">
        <v>2166</v>
      </c>
      <c r="N329" s="25" t="s">
        <v>2169</v>
      </c>
      <c r="O329" s="25" t="s">
        <v>2170</v>
      </c>
      <c r="P329" s="25" t="s">
        <v>2171</v>
      </c>
      <c r="Q329" s="25" t="s">
        <v>2166</v>
      </c>
    </row>
    <row r="330" spans="1:17" ht="25.5">
      <c r="A330" s="24" t="e">
        <f ca="1">MATCH(B330,UNIQUE($B$2:$B$1010),0)-1 &amp; ", " &amp; COUNTIF($B$2:B330,B330)-1</f>
        <v>#NAME?</v>
      </c>
      <c r="B330" s="24" t="s">
        <v>922</v>
      </c>
      <c r="C330" s="24">
        <v>208</v>
      </c>
      <c r="D330" s="25" t="s">
        <v>498</v>
      </c>
      <c r="E330" s="25"/>
      <c r="F330" s="25" t="str">
        <f t="shared" si="2"/>
        <v>STEELIX</v>
      </c>
      <c r="G330" s="25" t="s">
        <v>2172</v>
      </c>
      <c r="H330" s="25" t="s">
        <v>2173</v>
      </c>
      <c r="I330" s="25" t="s">
        <v>2173</v>
      </c>
      <c r="J330" s="25" t="s">
        <v>2174</v>
      </c>
      <c r="K330" s="25" t="s">
        <v>2173</v>
      </c>
      <c r="L330" s="25" t="s">
        <v>2173</v>
      </c>
      <c r="M330" s="25" t="s">
        <v>2173</v>
      </c>
      <c r="N330" s="25" t="s">
        <v>2175</v>
      </c>
      <c r="O330" s="25" t="s">
        <v>2176</v>
      </c>
      <c r="P330" s="25" t="s">
        <v>2177</v>
      </c>
      <c r="Q330" s="25" t="s">
        <v>2173</v>
      </c>
    </row>
    <row r="331" spans="1:17" ht="25.5">
      <c r="A331" s="24" t="e">
        <f ca="1">MATCH(B331,UNIQUE($B$2:$B$1010),0)-1 &amp; ", " &amp; COUNTIF($B$2:B331,B331)-1</f>
        <v>#NAME?</v>
      </c>
      <c r="B331" s="24" t="s">
        <v>922</v>
      </c>
      <c r="C331" s="24">
        <v>209</v>
      </c>
      <c r="D331" s="25" t="s">
        <v>498</v>
      </c>
      <c r="E331" s="25"/>
      <c r="F331" s="25" t="str">
        <f t="shared" si="2"/>
        <v>SNUBBULL</v>
      </c>
      <c r="G331" s="25" t="s">
        <v>2178</v>
      </c>
      <c r="H331" s="25" t="s">
        <v>2179</v>
      </c>
      <c r="I331" s="25" t="s">
        <v>2179</v>
      </c>
      <c r="J331" s="25" t="s">
        <v>2179</v>
      </c>
      <c r="K331" s="25" t="s">
        <v>2179</v>
      </c>
      <c r="L331" s="25" t="s">
        <v>2179</v>
      </c>
      <c r="M331" s="25" t="s">
        <v>2179</v>
      </c>
      <c r="N331" s="25" t="s">
        <v>597</v>
      </c>
      <c r="O331" s="25" t="s">
        <v>2180</v>
      </c>
      <c r="P331" s="25" t="s">
        <v>2181</v>
      </c>
      <c r="Q331" s="25" t="s">
        <v>2179</v>
      </c>
    </row>
    <row r="332" spans="1:17" ht="25.5">
      <c r="A332" s="24" t="e">
        <f ca="1">MATCH(B332,UNIQUE($B$2:$B$1010),0)-1 &amp; ", " &amp; COUNTIF($B$2:B332,B332)-1</f>
        <v>#NAME?</v>
      </c>
      <c r="B332" s="24" t="s">
        <v>922</v>
      </c>
      <c r="C332" s="24">
        <v>210</v>
      </c>
      <c r="D332" s="25" t="s">
        <v>498</v>
      </c>
      <c r="E332" s="25"/>
      <c r="F332" s="25" t="str">
        <f t="shared" si="2"/>
        <v>GRANBULL</v>
      </c>
      <c r="G332" s="25" t="s">
        <v>2182</v>
      </c>
      <c r="H332" s="25" t="s">
        <v>2183</v>
      </c>
      <c r="I332" s="25" t="s">
        <v>2183</v>
      </c>
      <c r="J332" s="25" t="s">
        <v>2183</v>
      </c>
      <c r="K332" s="25" t="s">
        <v>2183</v>
      </c>
      <c r="L332" s="25" t="s">
        <v>2183</v>
      </c>
      <c r="M332" s="25" t="s">
        <v>2183</v>
      </c>
      <c r="N332" s="25" t="s">
        <v>2184</v>
      </c>
      <c r="O332" s="25" t="s">
        <v>2185</v>
      </c>
      <c r="P332" s="25" t="s">
        <v>2186</v>
      </c>
      <c r="Q332" s="25" t="s">
        <v>2183</v>
      </c>
    </row>
    <row r="333" spans="1:17" ht="25.5">
      <c r="A333" s="24" t="e">
        <f ca="1">MATCH(B333,UNIQUE($B$2:$B$1010),0)-1 &amp; ", " &amp; COUNTIF($B$2:B333,B333)-1</f>
        <v>#NAME?</v>
      </c>
      <c r="B333" s="24" t="s">
        <v>922</v>
      </c>
      <c r="C333" s="24">
        <v>211</v>
      </c>
      <c r="D333" s="25" t="s">
        <v>498</v>
      </c>
      <c r="E333" s="25"/>
      <c r="F333" s="25" t="str">
        <f t="shared" si="2"/>
        <v>QWILFISH</v>
      </c>
      <c r="G333" s="25" t="s">
        <v>2187</v>
      </c>
      <c r="H333" s="25" t="s">
        <v>2188</v>
      </c>
      <c r="I333" s="25" t="s">
        <v>2188</v>
      </c>
      <c r="J333" s="25" t="s">
        <v>2189</v>
      </c>
      <c r="K333" s="25" t="s">
        <v>2188</v>
      </c>
      <c r="L333" s="25" t="s">
        <v>2188</v>
      </c>
      <c r="M333" s="25" t="s">
        <v>2188</v>
      </c>
      <c r="N333" s="25" t="s">
        <v>2190</v>
      </c>
      <c r="O333" s="25" t="s">
        <v>2191</v>
      </c>
      <c r="P333" s="25" t="s">
        <v>2192</v>
      </c>
      <c r="Q333" s="25" t="s">
        <v>2188</v>
      </c>
    </row>
    <row r="334" spans="1:17" ht="25.5">
      <c r="A334" s="24" t="e">
        <f ca="1">MATCH(B334,UNIQUE($B$2:$B$1010),0)-1 &amp; ", " &amp; COUNTIF($B$2:B334,B334)-1</f>
        <v>#NAME?</v>
      </c>
      <c r="B334" s="24" t="s">
        <v>922</v>
      </c>
      <c r="C334" s="24">
        <v>212</v>
      </c>
      <c r="D334" s="25" t="s">
        <v>498</v>
      </c>
      <c r="E334" s="25"/>
      <c r="F334" s="25" t="str">
        <f t="shared" si="2"/>
        <v>SCIZOR</v>
      </c>
      <c r="G334" s="25" t="s">
        <v>2193</v>
      </c>
      <c r="H334" s="25" t="s">
        <v>2194</v>
      </c>
      <c r="I334" s="25" t="s">
        <v>2195</v>
      </c>
      <c r="J334" s="25" t="s">
        <v>2196</v>
      </c>
      <c r="K334" s="25" t="s">
        <v>2194</v>
      </c>
      <c r="L334" s="25" t="s">
        <v>2194</v>
      </c>
      <c r="M334" s="25" t="s">
        <v>2194</v>
      </c>
      <c r="N334" s="25" t="s">
        <v>2197</v>
      </c>
      <c r="O334" s="25" t="s">
        <v>2198</v>
      </c>
      <c r="P334" s="25" t="s">
        <v>2199</v>
      </c>
      <c r="Q334" s="25" t="s">
        <v>2194</v>
      </c>
    </row>
    <row r="335" spans="1:17" ht="25.5">
      <c r="A335" s="24" t="e">
        <f ca="1">MATCH(B335,UNIQUE($B$2:$B$1010),0)-1 &amp; ", " &amp; COUNTIF($B$2:B335,B335)-1</f>
        <v>#NAME?</v>
      </c>
      <c r="B335" s="24" t="s">
        <v>922</v>
      </c>
      <c r="C335" s="24">
        <v>213</v>
      </c>
      <c r="D335" s="25" t="s">
        <v>498</v>
      </c>
      <c r="E335" s="25"/>
      <c r="F335" s="25" t="str">
        <f t="shared" si="2"/>
        <v>SHUCKLE</v>
      </c>
      <c r="G335" s="25" t="s">
        <v>2200</v>
      </c>
      <c r="H335" s="25" t="s">
        <v>2201</v>
      </c>
      <c r="I335" s="25" t="s">
        <v>2202</v>
      </c>
      <c r="J335" s="25" t="s">
        <v>2203</v>
      </c>
      <c r="K335" s="25" t="s">
        <v>2201</v>
      </c>
      <c r="L335" s="25" t="s">
        <v>2201</v>
      </c>
      <c r="M335" s="25" t="s">
        <v>2201</v>
      </c>
      <c r="N335" s="25" t="s">
        <v>2204</v>
      </c>
      <c r="O335" s="25" t="s">
        <v>2205</v>
      </c>
      <c r="P335" s="25" t="s">
        <v>2206</v>
      </c>
      <c r="Q335" s="25" t="s">
        <v>2201</v>
      </c>
    </row>
    <row r="336" spans="1:17" ht="25.5">
      <c r="A336" s="24" t="e">
        <f ca="1">MATCH(B336,UNIQUE($B$2:$B$1010),0)-1 &amp; ", " &amp; COUNTIF($B$2:B336,B336)-1</f>
        <v>#NAME?</v>
      </c>
      <c r="B336" s="24" t="s">
        <v>922</v>
      </c>
      <c r="C336" s="24">
        <v>214</v>
      </c>
      <c r="D336" s="25" t="s">
        <v>498</v>
      </c>
      <c r="E336" s="25"/>
      <c r="F336" s="25" t="str">
        <f t="shared" si="2"/>
        <v>HERACROSS</v>
      </c>
      <c r="G336" s="25" t="s">
        <v>2207</v>
      </c>
      <c r="H336" s="25" t="s">
        <v>2208</v>
      </c>
      <c r="I336" s="25" t="s">
        <v>2209</v>
      </c>
      <c r="J336" s="25" t="s">
        <v>2210</v>
      </c>
      <c r="K336" s="25" t="s">
        <v>2208</v>
      </c>
      <c r="L336" s="25" t="s">
        <v>2208</v>
      </c>
      <c r="M336" s="25" t="s">
        <v>2208</v>
      </c>
      <c r="N336" s="25" t="s">
        <v>2211</v>
      </c>
      <c r="O336" s="25" t="s">
        <v>2212</v>
      </c>
      <c r="P336" s="25" t="s">
        <v>2213</v>
      </c>
      <c r="Q336" s="25" t="s">
        <v>2208</v>
      </c>
    </row>
    <row r="337" spans="1:17" ht="25.5">
      <c r="A337" s="24" t="e">
        <f ca="1">MATCH(B337,UNIQUE($B$2:$B$1010),0)-1 &amp; ", " &amp; COUNTIF($B$2:B337,B337)-1</f>
        <v>#NAME?</v>
      </c>
      <c r="B337" s="24" t="s">
        <v>922</v>
      </c>
      <c r="C337" s="24">
        <v>215</v>
      </c>
      <c r="D337" s="25" t="s">
        <v>498</v>
      </c>
      <c r="E337" s="25"/>
      <c r="F337" s="25" t="str">
        <f t="shared" si="2"/>
        <v>SNEASEL</v>
      </c>
      <c r="G337" s="25" t="s">
        <v>2214</v>
      </c>
      <c r="H337" s="25" t="s">
        <v>2215</v>
      </c>
      <c r="I337" s="25" t="s">
        <v>2216</v>
      </c>
      <c r="J337" s="25" t="s">
        <v>2217</v>
      </c>
      <c r="K337" s="25" t="s">
        <v>2215</v>
      </c>
      <c r="L337" s="25" t="s">
        <v>2215</v>
      </c>
      <c r="M337" s="25" t="s">
        <v>2215</v>
      </c>
      <c r="N337" s="25" t="s">
        <v>2218</v>
      </c>
      <c r="O337" s="25" t="s">
        <v>2219</v>
      </c>
      <c r="P337" s="25" t="s">
        <v>2219</v>
      </c>
      <c r="Q337" s="25" t="s">
        <v>2215</v>
      </c>
    </row>
    <row r="338" spans="1:17" ht="25.5">
      <c r="A338" s="24" t="e">
        <f ca="1">MATCH(B338,UNIQUE($B$2:$B$1010),0)-1 &amp; ", " &amp; COUNTIF($B$2:B338,B338)-1</f>
        <v>#NAME?</v>
      </c>
      <c r="B338" s="24" t="s">
        <v>922</v>
      </c>
      <c r="C338" s="24">
        <v>216</v>
      </c>
      <c r="D338" s="25" t="s">
        <v>498</v>
      </c>
      <c r="E338" s="25"/>
      <c r="F338" s="25" t="str">
        <f t="shared" si="2"/>
        <v>TEDDIURSA</v>
      </c>
      <c r="G338" s="25" t="s">
        <v>2220</v>
      </c>
      <c r="H338" s="25" t="s">
        <v>2221</v>
      </c>
      <c r="I338" s="25" t="s">
        <v>2221</v>
      </c>
      <c r="J338" s="25" t="s">
        <v>2221</v>
      </c>
      <c r="K338" s="25" t="s">
        <v>2221</v>
      </c>
      <c r="L338" s="25" t="s">
        <v>2221</v>
      </c>
      <c r="M338" s="25" t="s">
        <v>2221</v>
      </c>
      <c r="N338" s="25" t="s">
        <v>2222</v>
      </c>
      <c r="O338" s="25" t="s">
        <v>2223</v>
      </c>
      <c r="P338" s="25" t="s">
        <v>2224</v>
      </c>
      <c r="Q338" s="25" t="s">
        <v>2221</v>
      </c>
    </row>
    <row r="339" spans="1:17" ht="25.5">
      <c r="A339" s="24" t="e">
        <f ca="1">MATCH(B339,UNIQUE($B$2:$B$1010),0)-1 &amp; ", " &amp; COUNTIF($B$2:B339,B339)-1</f>
        <v>#NAME?</v>
      </c>
      <c r="B339" s="24" t="s">
        <v>922</v>
      </c>
      <c r="C339" s="24">
        <v>217</v>
      </c>
      <c r="D339" s="25" t="s">
        <v>498</v>
      </c>
      <c r="E339" s="25"/>
      <c r="F339" s="25" t="str">
        <f t="shared" si="2"/>
        <v>URSARING</v>
      </c>
      <c r="G339" s="25" t="s">
        <v>2225</v>
      </c>
      <c r="H339" s="25" t="s">
        <v>2226</v>
      </c>
      <c r="I339" s="25" t="s">
        <v>2226</v>
      </c>
      <c r="J339" s="25" t="s">
        <v>2226</v>
      </c>
      <c r="K339" s="25" t="s">
        <v>2226</v>
      </c>
      <c r="L339" s="25" t="s">
        <v>2226</v>
      </c>
      <c r="M339" s="25" t="s">
        <v>2226</v>
      </c>
      <c r="N339" s="25" t="s">
        <v>2227</v>
      </c>
      <c r="O339" s="25" t="s">
        <v>2228</v>
      </c>
      <c r="P339" s="25" t="s">
        <v>2228</v>
      </c>
      <c r="Q339" s="25" t="s">
        <v>2226</v>
      </c>
    </row>
    <row r="340" spans="1:17" ht="25.5">
      <c r="A340" s="24" t="e">
        <f ca="1">MATCH(B340,UNIQUE($B$2:$B$1010),0)-1 &amp; ", " &amp; COUNTIF($B$2:B340,B340)-1</f>
        <v>#NAME?</v>
      </c>
      <c r="B340" s="24" t="s">
        <v>922</v>
      </c>
      <c r="C340" s="24">
        <v>218</v>
      </c>
      <c r="D340" s="25" t="s">
        <v>498</v>
      </c>
      <c r="E340" s="25"/>
      <c r="F340" s="25" t="str">
        <f t="shared" si="2"/>
        <v>SLUGMA</v>
      </c>
      <c r="G340" s="25" t="s">
        <v>2229</v>
      </c>
      <c r="H340" s="25" t="s">
        <v>2230</v>
      </c>
      <c r="I340" s="25" t="s">
        <v>2231</v>
      </c>
      <c r="J340" s="25" t="s">
        <v>2232</v>
      </c>
      <c r="K340" s="25" t="s">
        <v>2230</v>
      </c>
      <c r="L340" s="25" t="s">
        <v>2230</v>
      </c>
      <c r="M340" s="25" t="s">
        <v>2230</v>
      </c>
      <c r="N340" s="25" t="s">
        <v>2233</v>
      </c>
      <c r="O340" s="25" t="s">
        <v>2234</v>
      </c>
      <c r="P340" s="25" t="s">
        <v>2235</v>
      </c>
      <c r="Q340" s="25" t="s">
        <v>2230</v>
      </c>
    </row>
    <row r="341" spans="1:17" ht="25.5">
      <c r="A341" s="24" t="e">
        <f ca="1">MATCH(B341,UNIQUE($B$2:$B$1010),0)-1 &amp; ", " &amp; COUNTIF($B$2:B341,B341)-1</f>
        <v>#NAME?</v>
      </c>
      <c r="B341" s="24" t="s">
        <v>922</v>
      </c>
      <c r="C341" s="24">
        <v>219</v>
      </c>
      <c r="D341" s="25" t="s">
        <v>498</v>
      </c>
      <c r="E341" s="25"/>
      <c r="F341" s="25" t="str">
        <f t="shared" si="2"/>
        <v>MAGCARGO</v>
      </c>
      <c r="G341" s="25" t="s">
        <v>2236</v>
      </c>
      <c r="H341" s="25" t="s">
        <v>2237</v>
      </c>
      <c r="I341" s="25" t="s">
        <v>2238</v>
      </c>
      <c r="J341" s="25" t="s">
        <v>2237</v>
      </c>
      <c r="K341" s="25" t="s">
        <v>2237</v>
      </c>
      <c r="L341" s="25" t="s">
        <v>2237</v>
      </c>
      <c r="M341" s="25" t="s">
        <v>2237</v>
      </c>
      <c r="N341" s="25" t="s">
        <v>2239</v>
      </c>
      <c r="O341" s="25" t="s">
        <v>2240</v>
      </c>
      <c r="P341" s="25" t="s">
        <v>2241</v>
      </c>
      <c r="Q341" s="25" t="s">
        <v>2237</v>
      </c>
    </row>
    <row r="342" spans="1:17" ht="25.5">
      <c r="A342" s="24" t="e">
        <f ca="1">MATCH(B342,UNIQUE($B$2:$B$1010),0)-1 &amp; ", " &amp; COUNTIF($B$2:B342,B342)-1</f>
        <v>#NAME?</v>
      </c>
      <c r="B342" s="24" t="s">
        <v>922</v>
      </c>
      <c r="C342" s="24">
        <v>220</v>
      </c>
      <c r="D342" s="25" t="s">
        <v>498</v>
      </c>
      <c r="E342" s="25"/>
      <c r="F342" s="25" t="str">
        <f t="shared" si="2"/>
        <v>SWINUB</v>
      </c>
      <c r="G342" s="25" t="s">
        <v>2242</v>
      </c>
      <c r="H342" s="25" t="s">
        <v>2243</v>
      </c>
      <c r="I342" s="25" t="s">
        <v>2244</v>
      </c>
      <c r="J342" s="25" t="s">
        <v>2245</v>
      </c>
      <c r="K342" s="25" t="s">
        <v>2243</v>
      </c>
      <c r="L342" s="25" t="s">
        <v>2243</v>
      </c>
      <c r="M342" s="25" t="s">
        <v>2243</v>
      </c>
      <c r="N342" s="25" t="s">
        <v>2246</v>
      </c>
      <c r="O342" s="25" t="s">
        <v>2247</v>
      </c>
      <c r="P342" s="25" t="s">
        <v>2248</v>
      </c>
      <c r="Q342" s="25" t="s">
        <v>2243</v>
      </c>
    </row>
    <row r="343" spans="1:17" ht="25.5">
      <c r="A343" s="24" t="e">
        <f ca="1">MATCH(B343,UNIQUE($B$2:$B$1010),0)-1 &amp; ", " &amp; COUNTIF($B$2:B343,B343)-1</f>
        <v>#NAME?</v>
      </c>
      <c r="B343" s="24" t="s">
        <v>922</v>
      </c>
      <c r="C343" s="24">
        <v>221</v>
      </c>
      <c r="D343" s="25" t="s">
        <v>498</v>
      </c>
      <c r="E343" s="25"/>
      <c r="F343" s="25" t="str">
        <f t="shared" si="2"/>
        <v>PILOSWINE</v>
      </c>
      <c r="G343" s="25" t="s">
        <v>2249</v>
      </c>
      <c r="H343" s="25" t="s">
        <v>2250</v>
      </c>
      <c r="I343" s="25" t="s">
        <v>2251</v>
      </c>
      <c r="J343" s="25" t="s">
        <v>2252</v>
      </c>
      <c r="K343" s="25" t="s">
        <v>2250</v>
      </c>
      <c r="L343" s="25" t="s">
        <v>2250</v>
      </c>
      <c r="M343" s="25" t="s">
        <v>2250</v>
      </c>
      <c r="N343" s="25" t="s">
        <v>2253</v>
      </c>
      <c r="O343" s="25" t="s">
        <v>2254</v>
      </c>
      <c r="P343" s="25" t="s">
        <v>2255</v>
      </c>
      <c r="Q343" s="25" t="s">
        <v>2250</v>
      </c>
    </row>
    <row r="344" spans="1:17" ht="25.5">
      <c r="A344" s="24" t="e">
        <f ca="1">MATCH(B344,UNIQUE($B$2:$B$1010),0)-1 &amp; ", " &amp; COUNTIF($B$2:B344,B344)-1</f>
        <v>#NAME?</v>
      </c>
      <c r="B344" s="24" t="s">
        <v>922</v>
      </c>
      <c r="C344" s="24">
        <v>222</v>
      </c>
      <c r="D344" s="25" t="s">
        <v>498</v>
      </c>
      <c r="E344" s="25"/>
      <c r="F344" s="25" t="str">
        <f t="shared" si="2"/>
        <v>CORSOLA</v>
      </c>
      <c r="G344" s="25" t="s">
        <v>2256</v>
      </c>
      <c r="H344" s="25" t="s">
        <v>2257</v>
      </c>
      <c r="I344" s="25" t="s">
        <v>2258</v>
      </c>
      <c r="J344" s="25" t="s">
        <v>2259</v>
      </c>
      <c r="K344" s="25" t="s">
        <v>2257</v>
      </c>
      <c r="L344" s="25" t="s">
        <v>2257</v>
      </c>
      <c r="M344" s="25" t="s">
        <v>2257</v>
      </c>
      <c r="N344" s="25" t="s">
        <v>2260</v>
      </c>
      <c r="O344" s="25" t="s">
        <v>2261</v>
      </c>
      <c r="P344" s="25" t="s">
        <v>2262</v>
      </c>
      <c r="Q344" s="25" t="s">
        <v>2257</v>
      </c>
    </row>
    <row r="345" spans="1:17" ht="25.5">
      <c r="A345" s="24" t="e">
        <f ca="1">MATCH(B345,UNIQUE($B$2:$B$1010),0)-1 &amp; ", " &amp; COUNTIF($B$2:B345,B345)-1</f>
        <v>#NAME?</v>
      </c>
      <c r="B345" s="24" t="s">
        <v>922</v>
      </c>
      <c r="C345" s="24">
        <v>223</v>
      </c>
      <c r="D345" s="25" t="s">
        <v>498</v>
      </c>
      <c r="E345" s="25"/>
      <c r="F345" s="25" t="str">
        <f t="shared" si="2"/>
        <v>REMORAID</v>
      </c>
      <c r="G345" s="25" t="s">
        <v>2263</v>
      </c>
      <c r="H345" s="25" t="s">
        <v>2264</v>
      </c>
      <c r="I345" s="25" t="s">
        <v>2264</v>
      </c>
      <c r="J345" s="25" t="s">
        <v>2264</v>
      </c>
      <c r="K345" s="25" t="s">
        <v>2264</v>
      </c>
      <c r="L345" s="25" t="s">
        <v>2264</v>
      </c>
      <c r="M345" s="25" t="s">
        <v>2264</v>
      </c>
      <c r="N345" s="25" t="s">
        <v>2265</v>
      </c>
      <c r="O345" s="25" t="s">
        <v>2266</v>
      </c>
      <c r="P345" s="25" t="s">
        <v>2267</v>
      </c>
      <c r="Q345" s="25" t="s">
        <v>2264</v>
      </c>
    </row>
    <row r="346" spans="1:17" ht="25.5">
      <c r="A346" s="24" t="e">
        <f ca="1">MATCH(B346,UNIQUE($B$2:$B$1010),0)-1 &amp; ", " &amp; COUNTIF($B$2:B346,B346)-1</f>
        <v>#NAME?</v>
      </c>
      <c r="B346" s="24" t="s">
        <v>922</v>
      </c>
      <c r="C346" s="24">
        <v>224</v>
      </c>
      <c r="D346" s="25" t="s">
        <v>498</v>
      </c>
      <c r="E346" s="25"/>
      <c r="F346" s="25" t="str">
        <f t="shared" si="2"/>
        <v>OCTILLERY</v>
      </c>
      <c r="G346" s="25" t="s">
        <v>2268</v>
      </c>
      <c r="H346" s="25" t="s">
        <v>2269</v>
      </c>
      <c r="I346" s="25" t="s">
        <v>2269</v>
      </c>
      <c r="J346" s="25" t="s">
        <v>2269</v>
      </c>
      <c r="K346" s="25" t="s">
        <v>2269</v>
      </c>
      <c r="L346" s="25" t="s">
        <v>2269</v>
      </c>
      <c r="M346" s="25" t="s">
        <v>2269</v>
      </c>
      <c r="N346" s="25" t="s">
        <v>2270</v>
      </c>
      <c r="O346" s="25" t="s">
        <v>2271</v>
      </c>
      <c r="P346" s="25" t="s">
        <v>2272</v>
      </c>
      <c r="Q346" s="25" t="s">
        <v>2269</v>
      </c>
    </row>
    <row r="347" spans="1:17" ht="25.5">
      <c r="A347" s="24" t="e">
        <f ca="1">MATCH(B347,UNIQUE($B$2:$B$1010),0)-1 &amp; ", " &amp; COUNTIF($B$2:B347,B347)-1</f>
        <v>#NAME?</v>
      </c>
      <c r="B347" s="24" t="s">
        <v>922</v>
      </c>
      <c r="C347" s="24">
        <v>225</v>
      </c>
      <c r="D347" s="25" t="s">
        <v>498</v>
      </c>
      <c r="E347" s="25"/>
      <c r="F347" s="25" t="str">
        <f t="shared" si="2"/>
        <v>DELIBIRD</v>
      </c>
      <c r="G347" s="25" t="s">
        <v>2273</v>
      </c>
      <c r="H347" s="25" t="s">
        <v>2274</v>
      </c>
      <c r="I347" s="25" t="s">
        <v>2275</v>
      </c>
      <c r="J347" s="25" t="s">
        <v>2276</v>
      </c>
      <c r="K347" s="25" t="s">
        <v>2274</v>
      </c>
      <c r="L347" s="25" t="s">
        <v>2274</v>
      </c>
      <c r="M347" s="25" t="s">
        <v>2274</v>
      </c>
      <c r="N347" s="25" t="s">
        <v>2277</v>
      </c>
      <c r="O347" s="25" t="s">
        <v>2278</v>
      </c>
      <c r="P347" s="25" t="s">
        <v>2279</v>
      </c>
      <c r="Q347" s="25" t="s">
        <v>2274</v>
      </c>
    </row>
    <row r="348" spans="1:17" ht="25.5">
      <c r="A348" s="24" t="e">
        <f ca="1">MATCH(B348,UNIQUE($B$2:$B$1010),0)-1 &amp; ", " &amp; COUNTIF($B$2:B348,B348)-1</f>
        <v>#NAME?</v>
      </c>
      <c r="B348" s="24" t="s">
        <v>922</v>
      </c>
      <c r="C348" s="24">
        <v>226</v>
      </c>
      <c r="D348" s="25" t="s">
        <v>498</v>
      </c>
      <c r="E348" s="25"/>
      <c r="F348" s="25" t="str">
        <f t="shared" si="2"/>
        <v>MANTINE</v>
      </c>
      <c r="G348" s="25" t="s">
        <v>2280</v>
      </c>
      <c r="H348" s="25" t="s">
        <v>2281</v>
      </c>
      <c r="I348" s="25" t="s">
        <v>2282</v>
      </c>
      <c r="J348" s="25" t="s">
        <v>2283</v>
      </c>
      <c r="K348" s="25" t="s">
        <v>2281</v>
      </c>
      <c r="L348" s="25" t="s">
        <v>2281</v>
      </c>
      <c r="M348" s="25" t="s">
        <v>2281</v>
      </c>
      <c r="N348" s="25" t="s">
        <v>2284</v>
      </c>
      <c r="O348" s="25" t="s">
        <v>2285</v>
      </c>
      <c r="P348" s="25" t="s">
        <v>2286</v>
      </c>
      <c r="Q348" s="25" t="s">
        <v>2281</v>
      </c>
    </row>
    <row r="349" spans="1:17" ht="25.5">
      <c r="A349" s="24" t="e">
        <f ca="1">MATCH(B349,UNIQUE($B$2:$B$1010),0)-1 &amp; ", " &amp; COUNTIF($B$2:B349,B349)-1</f>
        <v>#NAME?</v>
      </c>
      <c r="B349" s="24" t="s">
        <v>922</v>
      </c>
      <c r="C349" s="24">
        <v>227</v>
      </c>
      <c r="D349" s="25" t="s">
        <v>498</v>
      </c>
      <c r="E349" s="25"/>
      <c r="F349" s="25" t="str">
        <f t="shared" si="2"/>
        <v>SKARMORY</v>
      </c>
      <c r="G349" s="25" t="s">
        <v>2287</v>
      </c>
      <c r="H349" s="25" t="s">
        <v>2288</v>
      </c>
      <c r="I349" s="25" t="s">
        <v>2289</v>
      </c>
      <c r="J349" s="25" t="s">
        <v>2290</v>
      </c>
      <c r="K349" s="25" t="s">
        <v>2288</v>
      </c>
      <c r="L349" s="25" t="s">
        <v>2288</v>
      </c>
      <c r="M349" s="25" t="s">
        <v>2288</v>
      </c>
      <c r="N349" s="25" t="s">
        <v>2291</v>
      </c>
      <c r="O349" s="25" t="s">
        <v>2292</v>
      </c>
      <c r="P349" s="25" t="s">
        <v>2293</v>
      </c>
      <c r="Q349" s="25" t="s">
        <v>2288</v>
      </c>
    </row>
    <row r="350" spans="1:17" ht="25.5">
      <c r="A350" s="24" t="e">
        <f ca="1">MATCH(B350,UNIQUE($B$2:$B$1010),0)-1 &amp; ", " &amp; COUNTIF($B$2:B350,B350)-1</f>
        <v>#NAME?</v>
      </c>
      <c r="B350" s="24" t="s">
        <v>922</v>
      </c>
      <c r="C350" s="24">
        <v>228</v>
      </c>
      <c r="D350" s="25" t="s">
        <v>498</v>
      </c>
      <c r="E350" s="25"/>
      <c r="F350" s="25" t="str">
        <f t="shared" si="2"/>
        <v>HOUNDOUR</v>
      </c>
      <c r="G350" s="25" t="s">
        <v>2294</v>
      </c>
      <c r="H350" s="25" t="s">
        <v>2295</v>
      </c>
      <c r="I350" s="25" t="s">
        <v>2296</v>
      </c>
      <c r="J350" s="25" t="s">
        <v>2297</v>
      </c>
      <c r="K350" s="25" t="s">
        <v>2295</v>
      </c>
      <c r="L350" s="25" t="s">
        <v>2295</v>
      </c>
      <c r="M350" s="25" t="s">
        <v>2295</v>
      </c>
      <c r="N350" s="25" t="s">
        <v>2298</v>
      </c>
      <c r="O350" s="25" t="s">
        <v>2299</v>
      </c>
      <c r="P350" s="25" t="s">
        <v>2300</v>
      </c>
      <c r="Q350" s="25" t="s">
        <v>2295</v>
      </c>
    </row>
    <row r="351" spans="1:17" ht="25.5">
      <c r="A351" s="24" t="e">
        <f ca="1">MATCH(B351,UNIQUE($B$2:$B$1010),0)-1 &amp; ", " &amp; COUNTIF($B$2:B351,B351)-1</f>
        <v>#NAME?</v>
      </c>
      <c r="B351" s="24" t="s">
        <v>922</v>
      </c>
      <c r="C351" s="24">
        <v>229</v>
      </c>
      <c r="D351" s="25" t="s">
        <v>498</v>
      </c>
      <c r="E351" s="25"/>
      <c r="F351" s="25" t="str">
        <f t="shared" si="2"/>
        <v>HOUNDOOM</v>
      </c>
      <c r="G351" s="25" t="s">
        <v>2301</v>
      </c>
      <c r="H351" s="25" t="s">
        <v>2302</v>
      </c>
      <c r="I351" s="25" t="s">
        <v>2303</v>
      </c>
      <c r="J351" s="25" t="s">
        <v>2304</v>
      </c>
      <c r="K351" s="25" t="s">
        <v>2302</v>
      </c>
      <c r="L351" s="25" t="s">
        <v>2302</v>
      </c>
      <c r="M351" s="25" t="s">
        <v>2302</v>
      </c>
      <c r="N351" s="25" t="s">
        <v>2305</v>
      </c>
      <c r="O351" s="25" t="s">
        <v>2306</v>
      </c>
      <c r="P351" s="25" t="s">
        <v>2307</v>
      </c>
      <c r="Q351" s="25" t="s">
        <v>2302</v>
      </c>
    </row>
    <row r="352" spans="1:17" ht="25.5">
      <c r="A352" s="24" t="e">
        <f ca="1">MATCH(B352,UNIQUE($B$2:$B$1010),0)-1 &amp; ", " &amp; COUNTIF($B$2:B352,B352)-1</f>
        <v>#NAME?</v>
      </c>
      <c r="B352" s="24" t="s">
        <v>922</v>
      </c>
      <c r="C352" s="24">
        <v>230</v>
      </c>
      <c r="D352" s="25" t="s">
        <v>498</v>
      </c>
      <c r="E352" s="25"/>
      <c r="F352" s="25" t="str">
        <f t="shared" si="2"/>
        <v>KINGDRA</v>
      </c>
      <c r="G352" s="25" t="s">
        <v>2308</v>
      </c>
      <c r="H352" s="25" t="s">
        <v>2309</v>
      </c>
      <c r="I352" s="25" t="s">
        <v>2310</v>
      </c>
      <c r="J352" s="25" t="s">
        <v>2311</v>
      </c>
      <c r="K352" s="25" t="s">
        <v>2309</v>
      </c>
      <c r="L352" s="25" t="s">
        <v>2309</v>
      </c>
      <c r="M352" s="25" t="s">
        <v>2309</v>
      </c>
      <c r="N352" s="25" t="s">
        <v>2312</v>
      </c>
      <c r="O352" s="25" t="s">
        <v>2313</v>
      </c>
      <c r="P352" s="25" t="s">
        <v>2314</v>
      </c>
      <c r="Q352" s="25" t="s">
        <v>2309</v>
      </c>
    </row>
    <row r="353" spans="1:17" ht="25.5">
      <c r="A353" s="24" t="e">
        <f ca="1">MATCH(B353,UNIQUE($B$2:$B$1010),0)-1 &amp; ", " &amp; COUNTIF($B$2:B353,B353)-1</f>
        <v>#NAME?</v>
      </c>
      <c r="B353" s="24" t="s">
        <v>922</v>
      </c>
      <c r="C353" s="24">
        <v>231</v>
      </c>
      <c r="D353" s="25" t="s">
        <v>498</v>
      </c>
      <c r="E353" s="25"/>
      <c r="F353" s="25" t="str">
        <f t="shared" si="2"/>
        <v>PHANPY</v>
      </c>
      <c r="G353" s="25" t="s">
        <v>2315</v>
      </c>
      <c r="H353" s="25" t="s">
        <v>2316</v>
      </c>
      <c r="I353" s="25" t="s">
        <v>2316</v>
      </c>
      <c r="J353" s="25" t="s">
        <v>2316</v>
      </c>
      <c r="K353" s="25" t="s">
        <v>2316</v>
      </c>
      <c r="L353" s="25" t="s">
        <v>2316</v>
      </c>
      <c r="M353" s="25" t="s">
        <v>2316</v>
      </c>
      <c r="N353" s="25" t="s">
        <v>2317</v>
      </c>
      <c r="O353" s="25" t="s">
        <v>2318</v>
      </c>
      <c r="P353" s="25" t="s">
        <v>2318</v>
      </c>
      <c r="Q353" s="25" t="s">
        <v>2316</v>
      </c>
    </row>
    <row r="354" spans="1:17" ht="25.5">
      <c r="A354" s="24" t="e">
        <f ca="1">MATCH(B354,UNIQUE($B$2:$B$1010),0)-1 &amp; ", " &amp; COUNTIF($B$2:B354,B354)-1</f>
        <v>#NAME?</v>
      </c>
      <c r="B354" s="24" t="s">
        <v>922</v>
      </c>
      <c r="C354" s="24">
        <v>232</v>
      </c>
      <c r="D354" s="25" t="s">
        <v>498</v>
      </c>
      <c r="E354" s="25"/>
      <c r="F354" s="25" t="str">
        <f t="shared" si="2"/>
        <v>DONPHAN</v>
      </c>
      <c r="G354" s="25" t="s">
        <v>2319</v>
      </c>
      <c r="H354" s="25" t="s">
        <v>2320</v>
      </c>
      <c r="I354" s="25" t="s">
        <v>2320</v>
      </c>
      <c r="J354" s="25" t="s">
        <v>2320</v>
      </c>
      <c r="K354" s="25" t="s">
        <v>2320</v>
      </c>
      <c r="L354" s="25" t="s">
        <v>2320</v>
      </c>
      <c r="M354" s="25" t="s">
        <v>2320</v>
      </c>
      <c r="N354" s="25" t="s">
        <v>2321</v>
      </c>
      <c r="O354" s="25" t="s">
        <v>2322</v>
      </c>
      <c r="P354" s="25" t="s">
        <v>2323</v>
      </c>
      <c r="Q354" s="25" t="s">
        <v>2320</v>
      </c>
    </row>
    <row r="355" spans="1:17" ht="25.5">
      <c r="A355" s="24" t="e">
        <f ca="1">MATCH(B355,UNIQUE($B$2:$B$1010),0)-1 &amp; ", " &amp; COUNTIF($B$2:B355,B355)-1</f>
        <v>#NAME?</v>
      </c>
      <c r="B355" s="24" t="s">
        <v>922</v>
      </c>
      <c r="C355" s="24">
        <v>233</v>
      </c>
      <c r="D355" s="25" t="s">
        <v>498</v>
      </c>
      <c r="E355" s="25"/>
      <c r="F355" s="25" t="str">
        <f t="shared" si="2"/>
        <v>PORYGON2</v>
      </c>
      <c r="G355" s="25" t="s">
        <v>2324</v>
      </c>
      <c r="H355" s="25" t="s">
        <v>2325</v>
      </c>
      <c r="I355" s="25" t="s">
        <v>2325</v>
      </c>
      <c r="J355" s="25" t="s">
        <v>2325</v>
      </c>
      <c r="K355" s="25" t="s">
        <v>2325</v>
      </c>
      <c r="L355" s="25" t="s">
        <v>2325</v>
      </c>
      <c r="M355" s="25" t="s">
        <v>2325</v>
      </c>
      <c r="N355" s="25" t="s">
        <v>2326</v>
      </c>
      <c r="O355" s="25" t="s">
        <v>2327</v>
      </c>
      <c r="P355" s="25" t="s">
        <v>2328</v>
      </c>
      <c r="Q355" s="25" t="s">
        <v>2325</v>
      </c>
    </row>
    <row r="356" spans="1:17" ht="25.5">
      <c r="A356" s="24" t="e">
        <f ca="1">MATCH(B356,UNIQUE($B$2:$B$1010),0)-1 &amp; ", " &amp; COUNTIF($B$2:B356,B356)-1</f>
        <v>#NAME?</v>
      </c>
      <c r="B356" s="24" t="s">
        <v>922</v>
      </c>
      <c r="C356" s="24">
        <v>234</v>
      </c>
      <c r="D356" s="25" t="s">
        <v>498</v>
      </c>
      <c r="E356" s="25"/>
      <c r="F356" s="25" t="str">
        <f t="shared" si="2"/>
        <v>STANTLER</v>
      </c>
      <c r="G356" s="25" t="s">
        <v>2329</v>
      </c>
      <c r="H356" s="25" t="s">
        <v>2330</v>
      </c>
      <c r="I356" s="25" t="s">
        <v>2331</v>
      </c>
      <c r="J356" s="25" t="s">
        <v>2332</v>
      </c>
      <c r="K356" s="25" t="s">
        <v>2330</v>
      </c>
      <c r="L356" s="25" t="s">
        <v>2330</v>
      </c>
      <c r="M356" s="25" t="s">
        <v>2330</v>
      </c>
      <c r="N356" s="25" t="s">
        <v>2333</v>
      </c>
      <c r="O356" s="25" t="s">
        <v>2334</v>
      </c>
      <c r="P356" s="25" t="s">
        <v>2335</v>
      </c>
      <c r="Q356" s="25" t="s">
        <v>2330</v>
      </c>
    </row>
    <row r="357" spans="1:17" ht="25.5">
      <c r="A357" s="24" t="e">
        <f ca="1">MATCH(B357,UNIQUE($B$2:$B$1010),0)-1 &amp; ", " &amp; COUNTIF($B$2:B357,B357)-1</f>
        <v>#NAME?</v>
      </c>
      <c r="B357" s="24" t="s">
        <v>922</v>
      </c>
      <c r="C357" s="24">
        <v>235</v>
      </c>
      <c r="D357" s="25" t="s">
        <v>498</v>
      </c>
      <c r="E357" s="25"/>
      <c r="F357" s="25" t="str">
        <f t="shared" si="2"/>
        <v>SMEARGLE</v>
      </c>
      <c r="G357" s="25" t="s">
        <v>2336</v>
      </c>
      <c r="H357" s="25" t="s">
        <v>2337</v>
      </c>
      <c r="I357" s="25" t="s">
        <v>2338</v>
      </c>
      <c r="J357" s="25" t="s">
        <v>2339</v>
      </c>
      <c r="K357" s="25" t="s">
        <v>2337</v>
      </c>
      <c r="L357" s="25" t="s">
        <v>2337</v>
      </c>
      <c r="M357" s="25" t="s">
        <v>2337</v>
      </c>
      <c r="N357" s="25" t="s">
        <v>2340</v>
      </c>
      <c r="O357" s="25" t="s">
        <v>2341</v>
      </c>
      <c r="P357" s="25" t="s">
        <v>2342</v>
      </c>
      <c r="Q357" s="25" t="s">
        <v>2337</v>
      </c>
    </row>
    <row r="358" spans="1:17" ht="25.5">
      <c r="A358" s="24" t="e">
        <f ca="1">MATCH(B358,UNIQUE($B$2:$B$1010),0)-1 &amp; ", " &amp; COUNTIF($B$2:B358,B358)-1</f>
        <v>#NAME?</v>
      </c>
      <c r="B358" s="24" t="s">
        <v>922</v>
      </c>
      <c r="C358" s="24">
        <v>236</v>
      </c>
      <c r="D358" s="25" t="s">
        <v>498</v>
      </c>
      <c r="E358" s="25"/>
      <c r="F358" s="25" t="str">
        <f t="shared" si="2"/>
        <v>TYROGUE</v>
      </c>
      <c r="G358" s="25" t="s">
        <v>2343</v>
      </c>
      <c r="H358" s="25" t="s">
        <v>2344</v>
      </c>
      <c r="I358" s="25" t="s">
        <v>2345</v>
      </c>
      <c r="J358" s="25" t="s">
        <v>2346</v>
      </c>
      <c r="K358" s="25" t="s">
        <v>2344</v>
      </c>
      <c r="L358" s="25" t="s">
        <v>2344</v>
      </c>
      <c r="M358" s="25" t="s">
        <v>2344</v>
      </c>
      <c r="N358" s="25" t="s">
        <v>2347</v>
      </c>
      <c r="O358" s="25" t="s">
        <v>2348</v>
      </c>
      <c r="P358" s="25" t="s">
        <v>2349</v>
      </c>
      <c r="Q358" s="25" t="s">
        <v>2344</v>
      </c>
    </row>
    <row r="359" spans="1:17" ht="25.5">
      <c r="A359" s="24" t="e">
        <f ca="1">MATCH(B359,UNIQUE($B$2:$B$1010),0)-1 &amp; ", " &amp; COUNTIF($B$2:B359,B359)-1</f>
        <v>#NAME?</v>
      </c>
      <c r="B359" s="24" t="s">
        <v>922</v>
      </c>
      <c r="C359" s="24">
        <v>237</v>
      </c>
      <c r="D359" s="25" t="s">
        <v>498</v>
      </c>
      <c r="E359" s="25"/>
      <c r="F359" s="25" t="str">
        <f t="shared" si="2"/>
        <v>HITMONTOP</v>
      </c>
      <c r="G359" s="25" t="s">
        <v>2350</v>
      </c>
      <c r="H359" s="25" t="s">
        <v>2351</v>
      </c>
      <c r="I359" s="25" t="s">
        <v>2352</v>
      </c>
      <c r="J359" s="25" t="s">
        <v>2352</v>
      </c>
      <c r="K359" s="25" t="s">
        <v>2351</v>
      </c>
      <c r="L359" s="25" t="s">
        <v>2351</v>
      </c>
      <c r="M359" s="25" t="s">
        <v>2351</v>
      </c>
      <c r="N359" s="25" t="s">
        <v>2353</v>
      </c>
      <c r="O359" s="25" t="s">
        <v>2354</v>
      </c>
      <c r="P359" s="25" t="s">
        <v>2355</v>
      </c>
      <c r="Q359" s="25" t="s">
        <v>2351</v>
      </c>
    </row>
    <row r="360" spans="1:17" ht="25.5">
      <c r="A360" s="24" t="e">
        <f ca="1">MATCH(B360,UNIQUE($B$2:$B$1010),0)-1 &amp; ", " &amp; COUNTIF($B$2:B360,B360)-1</f>
        <v>#NAME?</v>
      </c>
      <c r="B360" s="24" t="s">
        <v>922</v>
      </c>
      <c r="C360" s="24">
        <v>238</v>
      </c>
      <c r="D360" s="25" t="s">
        <v>498</v>
      </c>
      <c r="E360" s="25"/>
      <c r="F360" s="25" t="str">
        <f t="shared" si="2"/>
        <v>SMOOCHUM</v>
      </c>
      <c r="G360" s="25" t="s">
        <v>2356</v>
      </c>
      <c r="H360" s="25" t="s">
        <v>2357</v>
      </c>
      <c r="I360" s="25" t="s">
        <v>2358</v>
      </c>
      <c r="J360" s="25" t="s">
        <v>2359</v>
      </c>
      <c r="K360" s="25" t="s">
        <v>2357</v>
      </c>
      <c r="L360" s="25" t="s">
        <v>2357</v>
      </c>
      <c r="M360" s="25" t="s">
        <v>2357</v>
      </c>
      <c r="N360" s="25" t="s">
        <v>2360</v>
      </c>
      <c r="O360" s="25" t="s">
        <v>2361</v>
      </c>
      <c r="P360" s="25" t="s">
        <v>2361</v>
      </c>
      <c r="Q360" s="25" t="s">
        <v>2357</v>
      </c>
    </row>
    <row r="361" spans="1:17" ht="25.5">
      <c r="A361" s="24" t="e">
        <f ca="1">MATCH(B361,UNIQUE($B$2:$B$1010),0)-1 &amp; ", " &amp; COUNTIF($B$2:B361,B361)-1</f>
        <v>#NAME?</v>
      </c>
      <c r="B361" s="24" t="s">
        <v>922</v>
      </c>
      <c r="C361" s="24">
        <v>239</v>
      </c>
      <c r="D361" s="25" t="s">
        <v>498</v>
      </c>
      <c r="E361" s="25"/>
      <c r="F361" s="25" t="str">
        <f t="shared" si="2"/>
        <v>ELEKID</v>
      </c>
      <c r="G361" s="25" t="s">
        <v>2362</v>
      </c>
      <c r="H361" s="25" t="s">
        <v>2363</v>
      </c>
      <c r="I361" s="25" t="s">
        <v>2363</v>
      </c>
      <c r="J361" s="25" t="s">
        <v>2363</v>
      </c>
      <c r="K361" s="25" t="s">
        <v>2363</v>
      </c>
      <c r="L361" s="25" t="s">
        <v>2363</v>
      </c>
      <c r="M361" s="25" t="s">
        <v>2363</v>
      </c>
      <c r="N361" s="25" t="s">
        <v>2364</v>
      </c>
      <c r="O361" s="25" t="s">
        <v>2365</v>
      </c>
      <c r="P361" s="25" t="s">
        <v>2366</v>
      </c>
      <c r="Q361" s="25" t="s">
        <v>2363</v>
      </c>
    </row>
    <row r="362" spans="1:17" ht="25.5">
      <c r="A362" s="24" t="e">
        <f ca="1">MATCH(B362,UNIQUE($B$2:$B$1010),0)-1 &amp; ", " &amp; COUNTIF($B$2:B362,B362)-1</f>
        <v>#NAME?</v>
      </c>
      <c r="B362" s="24" t="s">
        <v>922</v>
      </c>
      <c r="C362" s="24">
        <v>240</v>
      </c>
      <c r="D362" s="25" t="s">
        <v>498</v>
      </c>
      <c r="E362" s="25"/>
      <c r="F362" s="25" t="str">
        <f t="shared" si="2"/>
        <v>MAGBY</v>
      </c>
      <c r="G362" s="25" t="s">
        <v>2367</v>
      </c>
      <c r="H362" s="25" t="s">
        <v>2368</v>
      </c>
      <c r="I362" s="25" t="s">
        <v>2368</v>
      </c>
      <c r="J362" s="25" t="s">
        <v>2368</v>
      </c>
      <c r="K362" s="25" t="s">
        <v>2368</v>
      </c>
      <c r="L362" s="25" t="s">
        <v>2368</v>
      </c>
      <c r="M362" s="25" t="s">
        <v>2368</v>
      </c>
      <c r="N362" s="25" t="s">
        <v>2369</v>
      </c>
      <c r="O362" s="25" t="s">
        <v>2370</v>
      </c>
      <c r="P362" s="25" t="s">
        <v>2371</v>
      </c>
      <c r="Q362" s="25" t="s">
        <v>2368</v>
      </c>
    </row>
    <row r="363" spans="1:17" ht="25.5">
      <c r="A363" s="24" t="e">
        <f ca="1">MATCH(B363,UNIQUE($B$2:$B$1010),0)-1 &amp; ", " &amp; COUNTIF($B$2:B363,B363)-1</f>
        <v>#NAME?</v>
      </c>
      <c r="B363" s="24" t="s">
        <v>922</v>
      </c>
      <c r="C363" s="24">
        <v>241</v>
      </c>
      <c r="D363" s="25" t="s">
        <v>498</v>
      </c>
      <c r="E363" s="25"/>
      <c r="F363" s="25" t="str">
        <f t="shared" si="2"/>
        <v>MILTANK</v>
      </c>
      <c r="G363" s="25" t="s">
        <v>2372</v>
      </c>
      <c r="H363" s="25" t="s">
        <v>2373</v>
      </c>
      <c r="I363" s="25" t="s">
        <v>2374</v>
      </c>
      <c r="J363" s="25" t="s">
        <v>2373</v>
      </c>
      <c r="K363" s="25" t="s">
        <v>2373</v>
      </c>
      <c r="L363" s="25" t="s">
        <v>2373</v>
      </c>
      <c r="M363" s="25" t="s">
        <v>2373</v>
      </c>
      <c r="N363" s="25" t="s">
        <v>2375</v>
      </c>
      <c r="O363" s="25" t="s">
        <v>2376</v>
      </c>
      <c r="P363" s="25" t="s">
        <v>2376</v>
      </c>
      <c r="Q363" s="25" t="s">
        <v>2373</v>
      </c>
    </row>
    <row r="364" spans="1:17" ht="25.5">
      <c r="A364" s="24" t="e">
        <f ca="1">MATCH(B364,UNIQUE($B$2:$B$1010),0)-1 &amp; ", " &amp; COUNTIF($B$2:B364,B364)-1</f>
        <v>#NAME?</v>
      </c>
      <c r="B364" s="24" t="s">
        <v>922</v>
      </c>
      <c r="C364" s="24">
        <v>242</v>
      </c>
      <c r="D364" s="25" t="s">
        <v>498</v>
      </c>
      <c r="E364" s="25"/>
      <c r="F364" s="25" t="str">
        <f t="shared" si="2"/>
        <v>BLISSEY</v>
      </c>
      <c r="G364" s="25" t="s">
        <v>2377</v>
      </c>
      <c r="H364" s="25" t="s">
        <v>2378</v>
      </c>
      <c r="I364" s="25" t="s">
        <v>2379</v>
      </c>
      <c r="J364" s="25" t="s">
        <v>2380</v>
      </c>
      <c r="K364" s="25" t="s">
        <v>2378</v>
      </c>
      <c r="L364" s="25" t="s">
        <v>2378</v>
      </c>
      <c r="M364" s="25" t="s">
        <v>2378</v>
      </c>
      <c r="N364" s="25" t="s">
        <v>2381</v>
      </c>
      <c r="O364" s="25" t="s">
        <v>2382</v>
      </c>
      <c r="P364" s="25" t="s">
        <v>2382</v>
      </c>
      <c r="Q364" s="25" t="s">
        <v>2378</v>
      </c>
    </row>
    <row r="365" spans="1:17" ht="25.5">
      <c r="A365" s="24" t="e">
        <f ca="1">MATCH(B365,UNIQUE($B$2:$B$1010),0)-1 &amp; ", " &amp; COUNTIF($B$2:B365,B365)-1</f>
        <v>#NAME?</v>
      </c>
      <c r="B365" s="24" t="s">
        <v>922</v>
      </c>
      <c r="C365" s="24">
        <v>243</v>
      </c>
      <c r="D365" s="25" t="s">
        <v>498</v>
      </c>
      <c r="E365" s="25"/>
      <c r="F365" s="25" t="str">
        <f t="shared" si="2"/>
        <v>RAIKOU</v>
      </c>
      <c r="G365" s="25" t="s">
        <v>2383</v>
      </c>
      <c r="H365" s="25" t="s">
        <v>2384</v>
      </c>
      <c r="I365" s="25" t="s">
        <v>2384</v>
      </c>
      <c r="J365" s="25" t="s">
        <v>2384</v>
      </c>
      <c r="K365" s="25" t="s">
        <v>2384</v>
      </c>
      <c r="L365" s="25" t="s">
        <v>2384</v>
      </c>
      <c r="M365" s="25" t="s">
        <v>2384</v>
      </c>
      <c r="N365" s="25" t="s">
        <v>2385</v>
      </c>
      <c r="O365" s="25" t="s">
        <v>2386</v>
      </c>
      <c r="P365" s="25" t="s">
        <v>2386</v>
      </c>
      <c r="Q365" s="25" t="s">
        <v>2384</v>
      </c>
    </row>
    <row r="366" spans="1:17" ht="25.5">
      <c r="A366" s="24" t="e">
        <f ca="1">MATCH(B366,UNIQUE($B$2:$B$1010),0)-1 &amp; ", " &amp; COUNTIF($B$2:B366,B366)-1</f>
        <v>#NAME?</v>
      </c>
      <c r="B366" s="24" t="s">
        <v>922</v>
      </c>
      <c r="C366" s="24">
        <v>244</v>
      </c>
      <c r="D366" s="25" t="s">
        <v>498</v>
      </c>
      <c r="E366" s="25"/>
      <c r="F366" s="25" t="str">
        <f t="shared" si="2"/>
        <v>ENTEI</v>
      </c>
      <c r="G366" s="25" t="s">
        <v>2387</v>
      </c>
      <c r="H366" s="25" t="s">
        <v>2388</v>
      </c>
      <c r="I366" s="25" t="s">
        <v>2388</v>
      </c>
      <c r="J366" s="25" t="s">
        <v>2388</v>
      </c>
      <c r="K366" s="25" t="s">
        <v>2388</v>
      </c>
      <c r="L366" s="25" t="s">
        <v>2388</v>
      </c>
      <c r="M366" s="25" t="s">
        <v>2388</v>
      </c>
      <c r="N366" s="25" t="s">
        <v>2389</v>
      </c>
      <c r="O366" s="25" t="s">
        <v>2390</v>
      </c>
      <c r="P366" s="25" t="s">
        <v>2390</v>
      </c>
      <c r="Q366" s="25" t="s">
        <v>2388</v>
      </c>
    </row>
    <row r="367" spans="1:17" ht="25.5">
      <c r="A367" s="24" t="e">
        <f ca="1">MATCH(B367,UNIQUE($B$2:$B$1010),0)-1 &amp; ", " &amp; COUNTIF($B$2:B367,B367)-1</f>
        <v>#NAME?</v>
      </c>
      <c r="B367" s="24" t="s">
        <v>922</v>
      </c>
      <c r="C367" s="24">
        <v>245</v>
      </c>
      <c r="D367" s="25" t="s">
        <v>498</v>
      </c>
      <c r="E367" s="25"/>
      <c r="F367" s="25" t="str">
        <f t="shared" si="2"/>
        <v>SUICUNE</v>
      </c>
      <c r="G367" s="25" t="s">
        <v>2391</v>
      </c>
      <c r="H367" s="25" t="s">
        <v>2392</v>
      </c>
      <c r="I367" s="25" t="s">
        <v>2392</v>
      </c>
      <c r="J367" s="25" t="s">
        <v>2392</v>
      </c>
      <c r="K367" s="25" t="s">
        <v>2392</v>
      </c>
      <c r="L367" s="25" t="s">
        <v>2392</v>
      </c>
      <c r="M367" s="25" t="s">
        <v>2392</v>
      </c>
      <c r="N367" s="25" t="s">
        <v>2393</v>
      </c>
      <c r="O367" s="25" t="s">
        <v>2394</v>
      </c>
      <c r="P367" s="25" t="s">
        <v>2394</v>
      </c>
      <c r="Q367" s="25" t="s">
        <v>2392</v>
      </c>
    </row>
    <row r="368" spans="1:17" ht="25.5">
      <c r="A368" s="24" t="e">
        <f ca="1">MATCH(B368,UNIQUE($B$2:$B$1010),0)-1 &amp; ", " &amp; COUNTIF($B$2:B368,B368)-1</f>
        <v>#NAME?</v>
      </c>
      <c r="B368" s="24" t="s">
        <v>922</v>
      </c>
      <c r="C368" s="24">
        <v>246</v>
      </c>
      <c r="D368" s="25" t="s">
        <v>498</v>
      </c>
      <c r="E368" s="25"/>
      <c r="F368" s="25" t="str">
        <f t="shared" si="2"/>
        <v>LARVITAR</v>
      </c>
      <c r="G368" s="25" t="s">
        <v>2395</v>
      </c>
      <c r="H368" s="25" t="s">
        <v>2396</v>
      </c>
      <c r="I368" s="25" t="s">
        <v>2397</v>
      </c>
      <c r="J368" s="25" t="s">
        <v>2396</v>
      </c>
      <c r="K368" s="25" t="s">
        <v>2396</v>
      </c>
      <c r="L368" s="25" t="s">
        <v>2396</v>
      </c>
      <c r="M368" s="25" t="s">
        <v>2396</v>
      </c>
      <c r="N368" s="25" t="s">
        <v>2398</v>
      </c>
      <c r="O368" s="25" t="s">
        <v>2399</v>
      </c>
      <c r="P368" s="25" t="s">
        <v>2399</v>
      </c>
      <c r="Q368" s="25" t="s">
        <v>2396</v>
      </c>
    </row>
    <row r="369" spans="1:17" ht="25.5">
      <c r="A369" s="24" t="e">
        <f ca="1">MATCH(B369,UNIQUE($B$2:$B$1010),0)-1 &amp; ", " &amp; COUNTIF($B$2:B369,B369)-1</f>
        <v>#NAME?</v>
      </c>
      <c r="B369" s="24" t="s">
        <v>922</v>
      </c>
      <c r="C369" s="24">
        <v>247</v>
      </c>
      <c r="D369" s="25" t="s">
        <v>498</v>
      </c>
      <c r="E369" s="25"/>
      <c r="F369" s="25" t="str">
        <f t="shared" si="2"/>
        <v>PUPITAR</v>
      </c>
      <c r="G369" s="25" t="s">
        <v>2400</v>
      </c>
      <c r="H369" s="25" t="s">
        <v>2401</v>
      </c>
      <c r="I369" s="25" t="s">
        <v>2402</v>
      </c>
      <c r="J369" s="25" t="s">
        <v>2401</v>
      </c>
      <c r="K369" s="25" t="s">
        <v>2401</v>
      </c>
      <c r="L369" s="25" t="s">
        <v>2401</v>
      </c>
      <c r="M369" s="25" t="s">
        <v>2401</v>
      </c>
      <c r="N369" s="25" t="s">
        <v>2403</v>
      </c>
      <c r="O369" s="25" t="s">
        <v>2404</v>
      </c>
      <c r="P369" s="25" t="s">
        <v>2404</v>
      </c>
      <c r="Q369" s="25" t="s">
        <v>2401</v>
      </c>
    </row>
    <row r="370" spans="1:17" ht="25.5">
      <c r="A370" s="24" t="e">
        <f ca="1">MATCH(B370,UNIQUE($B$2:$B$1010),0)-1 &amp; ", " &amp; COUNTIF($B$2:B370,B370)-1</f>
        <v>#NAME?</v>
      </c>
      <c r="B370" s="24" t="s">
        <v>922</v>
      </c>
      <c r="C370" s="24">
        <v>248</v>
      </c>
      <c r="D370" s="25" t="s">
        <v>498</v>
      </c>
      <c r="E370" s="25"/>
      <c r="F370" s="25" t="str">
        <f t="shared" si="2"/>
        <v>TYRANITAR</v>
      </c>
      <c r="G370" s="25" t="s">
        <v>2405</v>
      </c>
      <c r="H370" s="25" t="s">
        <v>2406</v>
      </c>
      <c r="I370" s="25" t="s">
        <v>2407</v>
      </c>
      <c r="J370" s="25" t="s">
        <v>2408</v>
      </c>
      <c r="K370" s="25" t="s">
        <v>2406</v>
      </c>
      <c r="L370" s="25" t="s">
        <v>2406</v>
      </c>
      <c r="M370" s="25" t="s">
        <v>2406</v>
      </c>
      <c r="N370" s="25" t="s">
        <v>2409</v>
      </c>
      <c r="O370" s="25" t="s">
        <v>2410</v>
      </c>
      <c r="P370" s="25" t="s">
        <v>2410</v>
      </c>
      <c r="Q370" s="25" t="s">
        <v>2406</v>
      </c>
    </row>
    <row r="371" spans="1:17" ht="25.5">
      <c r="A371" s="24" t="e">
        <f ca="1">MATCH(B371,UNIQUE($B$2:$B$1010),0)-1 &amp; ", " &amp; COUNTIF($B$2:B371,B371)-1</f>
        <v>#NAME?</v>
      </c>
      <c r="B371" s="24" t="s">
        <v>922</v>
      </c>
      <c r="C371" s="24">
        <v>249</v>
      </c>
      <c r="D371" s="25" t="s">
        <v>498</v>
      </c>
      <c r="E371" s="25"/>
      <c r="F371" s="25" t="str">
        <f t="shared" si="2"/>
        <v>LUGIA</v>
      </c>
      <c r="G371" s="25" t="s">
        <v>2411</v>
      </c>
      <c r="H371" s="25" t="s">
        <v>2412</v>
      </c>
      <c r="I371" s="25" t="s">
        <v>2412</v>
      </c>
      <c r="J371" s="25" t="s">
        <v>2412</v>
      </c>
      <c r="K371" s="25" t="s">
        <v>2412</v>
      </c>
      <c r="L371" s="25" t="s">
        <v>2412</v>
      </c>
      <c r="M371" s="25" t="s">
        <v>2412</v>
      </c>
      <c r="N371" s="25" t="s">
        <v>2413</v>
      </c>
      <c r="O371" s="25" t="s">
        <v>2414</v>
      </c>
      <c r="P371" s="25" t="s">
        <v>2415</v>
      </c>
      <c r="Q371" s="25" t="s">
        <v>2412</v>
      </c>
    </row>
    <row r="372" spans="1:17" ht="25.5">
      <c r="A372" s="24" t="e">
        <f ca="1">MATCH(B372,UNIQUE($B$2:$B$1010),0)-1 &amp; ", " &amp; COUNTIF($B$2:B372,B372)-1</f>
        <v>#NAME?</v>
      </c>
      <c r="B372" s="24" t="s">
        <v>922</v>
      </c>
      <c r="C372" s="24">
        <v>250</v>
      </c>
      <c r="D372" s="25" t="s">
        <v>498</v>
      </c>
      <c r="E372" s="25"/>
      <c r="F372" s="25" t="str">
        <f t="shared" si="2"/>
        <v>HO-OH</v>
      </c>
      <c r="G372" s="25" t="s">
        <v>2416</v>
      </c>
      <c r="H372" s="25" t="s">
        <v>2417</v>
      </c>
      <c r="I372" s="25" t="s">
        <v>2417</v>
      </c>
      <c r="J372" s="25" t="s">
        <v>2417</v>
      </c>
      <c r="K372" s="25" t="s">
        <v>2417</v>
      </c>
      <c r="L372" s="25" t="s">
        <v>2417</v>
      </c>
      <c r="M372" s="25" t="s">
        <v>2417</v>
      </c>
      <c r="N372" s="25" t="s">
        <v>2418</v>
      </c>
      <c r="O372" s="25" t="s">
        <v>2419</v>
      </c>
      <c r="P372" s="25" t="s">
        <v>2420</v>
      </c>
      <c r="Q372" s="25" t="s">
        <v>2417</v>
      </c>
    </row>
    <row r="373" spans="1:17" ht="25.5">
      <c r="A373" s="24" t="e">
        <f ca="1">MATCH(B373,UNIQUE($B$2:$B$1010),0)-1 &amp; ", " &amp; COUNTIF($B$2:B373,B373)-1</f>
        <v>#NAME?</v>
      </c>
      <c r="B373" s="24" t="s">
        <v>922</v>
      </c>
      <c r="C373" s="24">
        <v>251</v>
      </c>
      <c r="D373" s="25" t="s">
        <v>498</v>
      </c>
      <c r="E373" s="25"/>
      <c r="F373" s="25" t="str">
        <f t="shared" si="2"/>
        <v>CELEBI</v>
      </c>
      <c r="G373" s="25" t="s">
        <v>2421</v>
      </c>
      <c r="H373" s="25" t="s">
        <v>2422</v>
      </c>
      <c r="I373" s="25" t="s">
        <v>2422</v>
      </c>
      <c r="J373" s="25" t="s">
        <v>2422</v>
      </c>
      <c r="K373" s="25" t="s">
        <v>2422</v>
      </c>
      <c r="L373" s="25" t="s">
        <v>2422</v>
      </c>
      <c r="M373" s="25" t="s">
        <v>2422</v>
      </c>
      <c r="N373" s="25" t="s">
        <v>2423</v>
      </c>
      <c r="O373" s="25" t="s">
        <v>2424</v>
      </c>
      <c r="P373" s="25" t="s">
        <v>2425</v>
      </c>
      <c r="Q373" s="25" t="s">
        <v>2422</v>
      </c>
    </row>
  </sheetData>
  <conditionalFormatting sqref="M3:Q119 F2:L119 F120:Q373">
    <cfRule type="expression" dxfId="0" priority="1">
      <formula>LEN(F2) &gt; 1023</formula>
    </cfRule>
  </conditionalFormatting>
  <hyperlinks>
    <hyperlink ref="E4" r:id="rId1" location="Generation_III" xr:uid="{00000000-0004-0000-0100-000000000000}"/>
    <hyperlink ref="E5" r:id="rId2" location="Mystery_Event" xr:uid="{00000000-0004-0000-0100-000001000000}"/>
  </hyperlinks>
  <pageMargins left="0.7" right="0.7" top="0.75" bottom="0.75" header="0.3" footer="0.3"/>
  <tableParts count="5">
    <tablePart r:id="rId3"/>
    <tablePart r:id="rId4"/>
    <tablePart r:id="rId5"/>
    <tablePart r:id="rId6"/>
    <tablePart r:id="rId7"/>
  </tableParts>
  <extLst>
    <ext xmlns:x14="http://schemas.microsoft.com/office/spreadsheetml/2009/9/main" uri="{CCE6A557-97BC-4b89-ADB6-D9C93CAAB3DF}">
      <x14:dataValidations xmlns:xm="http://schemas.microsoft.com/office/excel/2006/main" count="3">
        <x14:dataValidation type="list" allowBlank="1" showErrorMessage="1" xr:uid="{7632314E-7DB2-49D5-9B85-C1E478BB3627}">
          <x14:formula1>
            <xm:f>'Box Types'!$A$2:$A371</xm:f>
          </x14:formula1>
          <xm:sqref>D2:D85</xm:sqref>
        </x14:dataValidation>
        <x14:dataValidation type="list" allowBlank="1" showErrorMessage="1" xr:uid="{005D17BF-4B48-4102-BA49-95FA9BA021D9}">
          <x14:formula1>
            <xm:f>'Box Types'!$A$2:$A454</xm:f>
          </x14:formula1>
          <xm:sqref>D86:D119</xm:sqref>
        </x14:dataValidation>
        <x14:dataValidation type="list" allowBlank="1" showErrorMessage="1" xr:uid="{246E9284-E95A-43BF-9D78-43062F336BDF}">
          <x14:formula1>
            <xm:f>'Box Types'!$A$2:$A487</xm:f>
          </x14:formula1>
          <xm:sqref>D120:D373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V177"/>
  <sheetViews>
    <sheetView workbookViewId="0"/>
  </sheetViews>
  <sheetFormatPr baseColWidth="10" defaultColWidth="12.5703125" defaultRowHeight="15.75" customHeight="1"/>
  <cols>
    <col min="1" max="48" width="2.7109375" customWidth="1"/>
  </cols>
  <sheetData>
    <row r="1" spans="1:48">
      <c r="A1" s="78" t="s">
        <v>2426</v>
      </c>
      <c r="B1" s="79"/>
      <c r="C1" s="79"/>
      <c r="D1" s="79"/>
      <c r="E1" s="79"/>
      <c r="F1" s="79"/>
      <c r="G1" s="79"/>
      <c r="H1" s="79"/>
      <c r="I1" s="79"/>
      <c r="J1" s="79"/>
      <c r="K1" s="79"/>
      <c r="L1" s="79"/>
      <c r="M1" s="79"/>
      <c r="N1" s="79"/>
      <c r="O1" s="79"/>
      <c r="P1" s="74"/>
      <c r="Q1" s="75" t="s">
        <v>2427</v>
      </c>
      <c r="R1" s="76"/>
      <c r="S1" s="76"/>
      <c r="T1" s="76"/>
      <c r="U1" s="76"/>
      <c r="V1" s="76"/>
      <c r="W1" s="76"/>
      <c r="X1" s="76"/>
      <c r="Y1" s="76"/>
      <c r="Z1" s="76"/>
      <c r="AA1" s="76"/>
      <c r="AB1" s="76"/>
      <c r="AC1" s="76"/>
      <c r="AD1" s="76"/>
      <c r="AE1" s="76"/>
      <c r="AF1" s="76"/>
      <c r="AG1" s="78" t="s">
        <v>32</v>
      </c>
      <c r="AH1" s="79"/>
      <c r="AI1" s="79"/>
      <c r="AJ1" s="79"/>
      <c r="AK1" s="79"/>
      <c r="AL1" s="79"/>
      <c r="AM1" s="79"/>
      <c r="AN1" s="79"/>
      <c r="AO1" s="79"/>
      <c r="AP1" s="79"/>
      <c r="AQ1" s="79"/>
      <c r="AR1" s="79"/>
      <c r="AS1" s="79"/>
      <c r="AT1" s="79"/>
      <c r="AU1" s="79"/>
      <c r="AV1" s="74"/>
    </row>
    <row r="2" spans="1:48">
      <c r="A2" s="26"/>
      <c r="B2" s="27" t="s">
        <v>2428</v>
      </c>
      <c r="C2" s="27" t="s">
        <v>2429</v>
      </c>
      <c r="D2" s="27" t="s">
        <v>2430</v>
      </c>
      <c r="E2" s="27" t="s">
        <v>2431</v>
      </c>
      <c r="F2" s="27" t="s">
        <v>2432</v>
      </c>
      <c r="G2" s="27" t="s">
        <v>2433</v>
      </c>
      <c r="H2" s="27" t="s">
        <v>2434</v>
      </c>
      <c r="I2" s="27" t="s">
        <v>2435</v>
      </c>
      <c r="J2" s="27" t="s">
        <v>2436</v>
      </c>
      <c r="K2" s="28" t="s">
        <v>2437</v>
      </c>
      <c r="L2" s="27" t="s">
        <v>2438</v>
      </c>
      <c r="M2" s="27" t="s">
        <v>2439</v>
      </c>
      <c r="N2" s="27" t="s">
        <v>2440</v>
      </c>
      <c r="O2" s="27" t="s">
        <v>2441</v>
      </c>
      <c r="P2" s="29" t="s">
        <v>2442</v>
      </c>
      <c r="Q2" s="26"/>
      <c r="R2" s="27" t="s">
        <v>2443</v>
      </c>
      <c r="S2" s="27" t="s">
        <v>2444</v>
      </c>
      <c r="T2" s="27" t="s">
        <v>2445</v>
      </c>
      <c r="U2" s="27" t="s">
        <v>2446</v>
      </c>
      <c r="V2" s="27" t="s">
        <v>2447</v>
      </c>
      <c r="W2" s="27" t="s">
        <v>2448</v>
      </c>
      <c r="X2" s="27" t="s">
        <v>2449</v>
      </c>
      <c r="Y2" s="27" t="s">
        <v>2450</v>
      </c>
      <c r="Z2" s="27" t="s">
        <v>2451</v>
      </c>
      <c r="AA2" s="27" t="s">
        <v>2452</v>
      </c>
      <c r="AB2" s="27" t="s">
        <v>2453</v>
      </c>
      <c r="AC2" s="27" t="s">
        <v>2454</v>
      </c>
      <c r="AD2" s="27" t="s">
        <v>2455</v>
      </c>
      <c r="AE2" s="27" t="s">
        <v>2456</v>
      </c>
      <c r="AF2" s="29" t="s">
        <v>2457</v>
      </c>
      <c r="AG2" s="30" t="s">
        <v>2458</v>
      </c>
      <c r="AH2" s="31" t="s">
        <v>2459</v>
      </c>
      <c r="AI2" s="31" t="s">
        <v>2460</v>
      </c>
      <c r="AJ2" s="31" t="s">
        <v>2461</v>
      </c>
      <c r="AK2" s="31" t="s">
        <v>2462</v>
      </c>
      <c r="AL2" s="31" t="s">
        <v>2463</v>
      </c>
      <c r="AM2" s="31" t="s">
        <v>2464</v>
      </c>
      <c r="AN2" s="31" t="s">
        <v>2465</v>
      </c>
      <c r="AO2" s="31" t="s">
        <v>2466</v>
      </c>
      <c r="AP2" s="31" t="s">
        <v>2467</v>
      </c>
      <c r="AQ2" s="31" t="s">
        <v>2468</v>
      </c>
      <c r="AR2" s="31" t="s">
        <v>2469</v>
      </c>
      <c r="AS2" s="31" t="s">
        <v>2470</v>
      </c>
      <c r="AT2" s="31" t="s">
        <v>2471</v>
      </c>
      <c r="AU2" s="31" t="s">
        <v>2472</v>
      </c>
      <c r="AV2" s="32" t="s">
        <v>2473</v>
      </c>
    </row>
    <row r="3" spans="1:48">
      <c r="A3" s="33" t="s">
        <v>2474</v>
      </c>
      <c r="B3" s="34" t="s">
        <v>2475</v>
      </c>
      <c r="C3" s="34" t="s">
        <v>2476</v>
      </c>
      <c r="D3" s="34" t="s">
        <v>2477</v>
      </c>
      <c r="E3" s="34" t="s">
        <v>2478</v>
      </c>
      <c r="F3" s="34" t="s">
        <v>2479</v>
      </c>
      <c r="G3" s="34" t="s">
        <v>2480</v>
      </c>
      <c r="H3" s="34" t="s">
        <v>2481</v>
      </c>
      <c r="I3" s="28" t="s">
        <v>2482</v>
      </c>
      <c r="J3" s="34" t="s">
        <v>2483</v>
      </c>
      <c r="K3" s="34" t="s">
        <v>2484</v>
      </c>
      <c r="L3" s="34" t="s">
        <v>2485</v>
      </c>
      <c r="M3" s="34" t="s">
        <v>2486</v>
      </c>
      <c r="N3" s="34" t="s">
        <v>2487</v>
      </c>
      <c r="O3" s="34" t="s">
        <v>2488</v>
      </c>
      <c r="P3" s="35" t="s">
        <v>2489</v>
      </c>
      <c r="Q3" s="33" t="s">
        <v>2490</v>
      </c>
      <c r="R3" s="34" t="s">
        <v>2491</v>
      </c>
      <c r="S3" s="34" t="s">
        <v>2492</v>
      </c>
      <c r="T3" s="34" t="s">
        <v>2493</v>
      </c>
      <c r="U3" s="34" t="s">
        <v>2494</v>
      </c>
      <c r="V3" s="34" t="s">
        <v>2495</v>
      </c>
      <c r="W3" s="34" t="s">
        <v>2496</v>
      </c>
      <c r="X3" s="34" t="s">
        <v>2497</v>
      </c>
      <c r="Y3" s="34" t="s">
        <v>2498</v>
      </c>
      <c r="Z3" s="34" t="s">
        <v>2499</v>
      </c>
      <c r="AA3" s="34" t="s">
        <v>2500</v>
      </c>
      <c r="AB3" s="34" t="s">
        <v>2501</v>
      </c>
      <c r="AC3" s="34" t="s">
        <v>2502</v>
      </c>
      <c r="AD3" s="34" t="s">
        <v>2503</v>
      </c>
      <c r="AE3" s="34" t="s">
        <v>2504</v>
      </c>
      <c r="AF3" s="36" t="s">
        <v>2505</v>
      </c>
      <c r="AG3" s="37" t="s">
        <v>2506</v>
      </c>
      <c r="AH3" s="38" t="s">
        <v>2507</v>
      </c>
      <c r="AI3" s="38" t="s">
        <v>2508</v>
      </c>
      <c r="AJ3" s="38"/>
      <c r="AK3" s="38"/>
      <c r="AL3" s="38"/>
      <c r="AM3" s="38"/>
      <c r="AN3" s="38"/>
      <c r="AO3" s="38"/>
      <c r="AP3" s="38"/>
      <c r="AQ3" s="34"/>
      <c r="AR3" s="38" t="s">
        <v>2485</v>
      </c>
      <c r="AS3" s="34" t="s">
        <v>2509</v>
      </c>
      <c r="AT3" s="38"/>
      <c r="AU3" s="38"/>
      <c r="AV3" s="39"/>
    </row>
    <row r="4" spans="1:48">
      <c r="A4" s="33" t="s">
        <v>2510</v>
      </c>
      <c r="B4" s="34" t="s">
        <v>2511</v>
      </c>
      <c r="C4" s="34" t="s">
        <v>2512</v>
      </c>
      <c r="D4" s="34" t="s">
        <v>2509</v>
      </c>
      <c r="E4" s="34" t="s">
        <v>2513</v>
      </c>
      <c r="F4" s="34" t="s">
        <v>2514</v>
      </c>
      <c r="G4" s="34" t="s">
        <v>2515</v>
      </c>
      <c r="H4" s="34" t="s">
        <v>2516</v>
      </c>
      <c r="I4" s="34" t="s">
        <v>2517</v>
      </c>
      <c r="J4" s="34" t="s">
        <v>2518</v>
      </c>
      <c r="K4" s="34" t="s">
        <v>2519</v>
      </c>
      <c r="L4" s="34" t="s">
        <v>2520</v>
      </c>
      <c r="M4" s="34" t="s">
        <v>2521</v>
      </c>
      <c r="N4" s="34" t="s">
        <v>2522</v>
      </c>
      <c r="O4" s="40" t="s">
        <v>2523</v>
      </c>
      <c r="P4" s="35" t="s">
        <v>2524</v>
      </c>
      <c r="Q4" s="33" t="s">
        <v>2525</v>
      </c>
      <c r="R4" s="34" t="s">
        <v>2526</v>
      </c>
      <c r="S4" s="34" t="s">
        <v>2527</v>
      </c>
      <c r="T4" s="34" t="s">
        <v>2528</v>
      </c>
      <c r="U4" s="34" t="s">
        <v>2529</v>
      </c>
      <c r="V4" s="34" t="s">
        <v>2530</v>
      </c>
      <c r="W4" s="34" t="s">
        <v>2531</v>
      </c>
      <c r="X4" s="34" t="s">
        <v>2532</v>
      </c>
      <c r="Y4" s="34" t="s">
        <v>2533</v>
      </c>
      <c r="Z4" s="34" t="s">
        <v>2534</v>
      </c>
      <c r="AA4" s="34" t="s">
        <v>2535</v>
      </c>
      <c r="AB4" s="34" t="s">
        <v>2536</v>
      </c>
      <c r="AC4" s="34" t="s">
        <v>2537</v>
      </c>
      <c r="AD4" s="34" t="s">
        <v>2538</v>
      </c>
      <c r="AE4" s="34" t="s">
        <v>2539</v>
      </c>
      <c r="AF4" s="36" t="s">
        <v>2540</v>
      </c>
      <c r="AG4" s="37" t="s">
        <v>2541</v>
      </c>
      <c r="AH4" s="38" t="s">
        <v>2542</v>
      </c>
      <c r="AI4" s="38" t="s">
        <v>2543</v>
      </c>
      <c r="AJ4" s="38" t="s">
        <v>2544</v>
      </c>
      <c r="AK4" s="38" t="s">
        <v>2545</v>
      </c>
      <c r="AL4" s="38" t="s">
        <v>2546</v>
      </c>
      <c r="AM4" s="38" t="s">
        <v>2547</v>
      </c>
      <c r="AN4" s="38" t="s">
        <v>2548</v>
      </c>
      <c r="AO4" s="38" t="s">
        <v>2549</v>
      </c>
      <c r="AP4" s="38" t="s">
        <v>2550</v>
      </c>
      <c r="AQ4" s="38" t="s">
        <v>2551</v>
      </c>
      <c r="AR4" s="38" t="s">
        <v>2552</v>
      </c>
      <c r="AS4" s="38" t="s">
        <v>2553</v>
      </c>
      <c r="AT4" s="38" t="s">
        <v>2554</v>
      </c>
      <c r="AU4" s="38" t="s">
        <v>2555</v>
      </c>
      <c r="AV4" s="39" t="s">
        <v>2556</v>
      </c>
    </row>
    <row r="5" spans="1:48">
      <c r="A5" s="41" t="s">
        <v>2557</v>
      </c>
      <c r="B5" s="42" t="s">
        <v>2558</v>
      </c>
      <c r="C5" s="42" t="s">
        <v>2559</v>
      </c>
      <c r="D5" s="42" t="s">
        <v>2560</v>
      </c>
      <c r="E5" s="28" t="s">
        <v>2561</v>
      </c>
      <c r="F5" s="40" t="s">
        <v>2562</v>
      </c>
      <c r="G5" s="34" t="s">
        <v>2563</v>
      </c>
      <c r="H5" s="43" t="s">
        <v>2564</v>
      </c>
      <c r="I5" s="34"/>
      <c r="J5" s="34"/>
      <c r="K5" s="44"/>
      <c r="L5" s="34"/>
      <c r="M5" s="34"/>
      <c r="N5" s="34"/>
      <c r="O5" s="34"/>
      <c r="P5" s="36"/>
      <c r="Q5" s="33" t="s">
        <v>2565</v>
      </c>
      <c r="R5" s="34" t="s">
        <v>2566</v>
      </c>
      <c r="S5" s="34" t="s">
        <v>2567</v>
      </c>
      <c r="T5" s="34" t="s">
        <v>2568</v>
      </c>
      <c r="U5" s="34" t="s">
        <v>2569</v>
      </c>
      <c r="V5" s="34" t="s">
        <v>2570</v>
      </c>
      <c r="W5" s="34" t="s">
        <v>2571</v>
      </c>
      <c r="X5" s="34" t="s">
        <v>2572</v>
      </c>
      <c r="Y5" s="34" t="s">
        <v>2573</v>
      </c>
      <c r="Z5" s="34" t="s">
        <v>2574</v>
      </c>
      <c r="AA5" s="34" t="s">
        <v>2575</v>
      </c>
      <c r="AB5" s="34" t="s">
        <v>2576</v>
      </c>
      <c r="AC5" s="34" t="s">
        <v>2577</v>
      </c>
      <c r="AD5" s="34" t="s">
        <v>2578</v>
      </c>
      <c r="AE5" s="34" t="s">
        <v>2579</v>
      </c>
      <c r="AF5" s="36" t="s">
        <v>2580</v>
      </c>
      <c r="AG5" s="37" t="s">
        <v>2581</v>
      </c>
      <c r="AH5" s="38" t="s">
        <v>2582</v>
      </c>
      <c r="AI5" s="38" t="s">
        <v>2583</v>
      </c>
      <c r="AJ5" s="38" t="s">
        <v>2584</v>
      </c>
      <c r="AK5" s="38" t="s">
        <v>2585</v>
      </c>
      <c r="AL5" s="40" t="s">
        <v>2562</v>
      </c>
      <c r="AM5" s="34" t="s">
        <v>2563</v>
      </c>
      <c r="AN5" s="38"/>
      <c r="AO5" s="38"/>
      <c r="AP5" s="38"/>
      <c r="AQ5" s="38"/>
      <c r="AR5" s="38"/>
      <c r="AS5" s="38"/>
      <c r="AT5" s="34" t="s">
        <v>2522</v>
      </c>
      <c r="AU5" s="40" t="s">
        <v>2523</v>
      </c>
      <c r="AV5" s="39"/>
    </row>
    <row r="6" spans="1:48">
      <c r="A6" s="33"/>
      <c r="B6" s="34"/>
      <c r="C6" s="34"/>
      <c r="D6" s="34"/>
      <c r="E6" s="34"/>
      <c r="F6" s="34"/>
      <c r="G6" s="34"/>
      <c r="H6" s="34"/>
      <c r="I6" s="34"/>
      <c r="J6" s="34"/>
      <c r="K6" s="34"/>
      <c r="L6" s="34"/>
      <c r="M6" s="34"/>
      <c r="N6" s="34"/>
      <c r="O6" s="34"/>
      <c r="P6" s="36"/>
      <c r="Q6" s="33" t="s">
        <v>2586</v>
      </c>
      <c r="R6" s="34" t="s">
        <v>2587</v>
      </c>
      <c r="S6" s="34" t="s">
        <v>2588</v>
      </c>
      <c r="T6" s="34" t="s">
        <v>2589</v>
      </c>
      <c r="U6" s="34" t="s">
        <v>2590</v>
      </c>
      <c r="V6" s="34" t="s">
        <v>2591</v>
      </c>
      <c r="W6" s="34" t="s">
        <v>2592</v>
      </c>
      <c r="X6" s="34" t="s">
        <v>2593</v>
      </c>
      <c r="Y6" s="34" t="s">
        <v>2594</v>
      </c>
      <c r="Z6" s="34" t="s">
        <v>2595</v>
      </c>
      <c r="AA6" s="34" t="s">
        <v>2596</v>
      </c>
      <c r="AB6" s="34" t="s">
        <v>2597</v>
      </c>
      <c r="AC6" s="34" t="s">
        <v>2598</v>
      </c>
      <c r="AD6" s="34" t="s">
        <v>2599</v>
      </c>
      <c r="AE6" s="34" t="s">
        <v>2600</v>
      </c>
      <c r="AF6" s="36" t="s">
        <v>2601</v>
      </c>
      <c r="AG6" s="45"/>
      <c r="AH6" s="46"/>
      <c r="AI6" s="42" t="s">
        <v>2559</v>
      </c>
      <c r="AJ6" s="46"/>
      <c r="AK6" s="47"/>
      <c r="AL6" s="38"/>
      <c r="AM6" s="38"/>
      <c r="AN6" s="38"/>
      <c r="AO6" s="38"/>
      <c r="AP6" s="38"/>
      <c r="AQ6" s="38"/>
      <c r="AR6" s="38"/>
      <c r="AS6" s="38"/>
      <c r="AT6" s="38"/>
      <c r="AU6" s="38"/>
      <c r="AV6" s="39"/>
    </row>
    <row r="7" spans="1:48">
      <c r="A7" s="33" t="s">
        <v>2602</v>
      </c>
      <c r="B7" s="34" t="s">
        <v>2603</v>
      </c>
      <c r="C7" s="34" t="s">
        <v>2604</v>
      </c>
      <c r="D7" s="34"/>
      <c r="E7" s="34"/>
      <c r="F7" s="34"/>
      <c r="G7" s="34"/>
      <c r="H7" s="34"/>
      <c r="I7" s="34"/>
      <c r="J7" s="34"/>
      <c r="K7" s="34" t="s">
        <v>2605</v>
      </c>
      <c r="L7" s="34" t="s">
        <v>2606</v>
      </c>
      <c r="M7" s="34" t="s">
        <v>2607</v>
      </c>
      <c r="N7" s="34" t="s">
        <v>2608</v>
      </c>
      <c r="O7" s="34"/>
      <c r="P7" s="36"/>
      <c r="Q7" s="33" t="s">
        <v>2609</v>
      </c>
      <c r="R7" s="34" t="s">
        <v>2610</v>
      </c>
      <c r="S7" s="34" t="s">
        <v>2611</v>
      </c>
      <c r="T7" s="34" t="s">
        <v>2612</v>
      </c>
      <c r="U7" s="34" t="s">
        <v>2613</v>
      </c>
      <c r="V7" s="34" t="s">
        <v>2614</v>
      </c>
      <c r="W7" s="34" t="s">
        <v>2615</v>
      </c>
      <c r="X7" s="34" t="s">
        <v>2616</v>
      </c>
      <c r="Y7" s="34" t="s">
        <v>2617</v>
      </c>
      <c r="Z7" s="34" t="s">
        <v>2618</v>
      </c>
      <c r="AA7" s="34" t="s">
        <v>2619</v>
      </c>
      <c r="AB7" s="34" t="s">
        <v>2620</v>
      </c>
      <c r="AC7" s="34" t="s">
        <v>2621</v>
      </c>
      <c r="AD7" s="34" t="s">
        <v>2622</v>
      </c>
      <c r="AE7" s="34" t="s">
        <v>2623</v>
      </c>
      <c r="AF7" s="36" t="s">
        <v>2624</v>
      </c>
      <c r="AG7" s="37"/>
      <c r="AH7" s="38"/>
      <c r="AI7" s="38"/>
      <c r="AJ7" s="38"/>
      <c r="AK7" s="38"/>
      <c r="AL7" s="38"/>
      <c r="AM7" s="38"/>
      <c r="AN7" s="38"/>
      <c r="AO7" s="38"/>
      <c r="AP7" s="38"/>
      <c r="AQ7" s="38"/>
      <c r="AR7" s="34" t="s">
        <v>2606</v>
      </c>
      <c r="AS7" s="34" t="s">
        <v>2607</v>
      </c>
      <c r="AT7" s="34" t="s">
        <v>2608</v>
      </c>
      <c r="AU7" s="38"/>
      <c r="AV7" s="39"/>
    </row>
    <row r="8" spans="1:48">
      <c r="A8" s="48" t="s">
        <v>2625</v>
      </c>
      <c r="B8" s="28" t="s">
        <v>2626</v>
      </c>
      <c r="C8" s="34"/>
      <c r="D8" s="34"/>
      <c r="E8" s="34"/>
      <c r="F8" s="34"/>
      <c r="G8" s="34"/>
      <c r="H8" s="34"/>
      <c r="I8" s="34" t="s">
        <v>2627</v>
      </c>
      <c r="J8" s="34"/>
      <c r="K8" s="34"/>
      <c r="L8" s="34"/>
      <c r="M8" s="34"/>
      <c r="N8" s="34"/>
      <c r="O8" s="34"/>
      <c r="P8" s="36" t="s">
        <v>2628</v>
      </c>
      <c r="Q8" s="33" t="s">
        <v>2629</v>
      </c>
      <c r="R8" s="34" t="s">
        <v>2630</v>
      </c>
      <c r="S8" s="34" t="s">
        <v>2631</v>
      </c>
      <c r="T8" s="34" t="s">
        <v>2632</v>
      </c>
      <c r="U8" s="34" t="s">
        <v>2633</v>
      </c>
      <c r="V8" s="34" t="s">
        <v>2634</v>
      </c>
      <c r="W8" s="34" t="s">
        <v>2635</v>
      </c>
      <c r="X8" s="34" t="s">
        <v>2636</v>
      </c>
      <c r="Y8" s="34" t="s">
        <v>2637</v>
      </c>
      <c r="Z8" s="34" t="s">
        <v>2638</v>
      </c>
      <c r="AA8" s="34" t="s">
        <v>2639</v>
      </c>
      <c r="AB8" s="34" t="s">
        <v>2640</v>
      </c>
      <c r="AC8" s="34" t="s">
        <v>2641</v>
      </c>
      <c r="AD8" s="34" t="s">
        <v>2642</v>
      </c>
      <c r="AE8" s="34" t="s">
        <v>2643</v>
      </c>
      <c r="AF8" s="36" t="s">
        <v>2644</v>
      </c>
      <c r="AG8" s="48" t="s">
        <v>2625</v>
      </c>
      <c r="AH8" s="47"/>
      <c r="AI8" s="47"/>
      <c r="AJ8" s="47"/>
      <c r="AK8" s="38"/>
      <c r="AL8" s="38"/>
      <c r="AM8" s="38"/>
      <c r="AN8" s="38"/>
      <c r="AO8" s="38"/>
      <c r="AP8" s="38" t="s">
        <v>2645</v>
      </c>
      <c r="AQ8" s="38"/>
      <c r="AR8" s="38"/>
      <c r="AS8" s="38"/>
      <c r="AT8" s="38"/>
      <c r="AU8" s="38"/>
      <c r="AV8" s="39"/>
    </row>
    <row r="9" spans="1:48">
      <c r="A9" s="48" t="s">
        <v>2646</v>
      </c>
      <c r="B9" s="28" t="s">
        <v>2647</v>
      </c>
      <c r="C9" s="28" t="s">
        <v>2648</v>
      </c>
      <c r="D9" s="28" t="s">
        <v>2649</v>
      </c>
      <c r="E9" s="34"/>
      <c r="F9" s="34"/>
      <c r="G9" s="34"/>
      <c r="H9" s="34"/>
      <c r="I9" s="34"/>
      <c r="J9" s="34" t="s">
        <v>2650</v>
      </c>
      <c r="K9" s="34" t="s">
        <v>2651</v>
      </c>
      <c r="L9" s="34" t="s">
        <v>2652</v>
      </c>
      <c r="M9" s="34" t="s">
        <v>2653</v>
      </c>
      <c r="N9" s="34"/>
      <c r="O9" s="34"/>
      <c r="P9" s="36"/>
      <c r="Q9" s="33" t="s">
        <v>2654</v>
      </c>
      <c r="R9" s="34" t="s">
        <v>2655</v>
      </c>
      <c r="S9" s="34" t="s">
        <v>2656</v>
      </c>
      <c r="T9" s="34" t="s">
        <v>2657</v>
      </c>
      <c r="U9" s="34" t="s">
        <v>2658</v>
      </c>
      <c r="V9" s="34" t="s">
        <v>2659</v>
      </c>
      <c r="W9" s="34" t="s">
        <v>2660</v>
      </c>
      <c r="X9" s="34" t="s">
        <v>2661</v>
      </c>
      <c r="Y9" s="34" t="s">
        <v>2662</v>
      </c>
      <c r="Z9" s="34" t="s">
        <v>2663</v>
      </c>
      <c r="AA9" s="34" t="s">
        <v>2664</v>
      </c>
      <c r="AB9" s="34" t="s">
        <v>2665</v>
      </c>
      <c r="AC9" s="34" t="s">
        <v>2666</v>
      </c>
      <c r="AD9" s="34" t="s">
        <v>2667</v>
      </c>
      <c r="AE9" s="34" t="s">
        <v>2668</v>
      </c>
      <c r="AF9" s="36" t="s">
        <v>2669</v>
      </c>
      <c r="AG9" s="48" t="s">
        <v>2646</v>
      </c>
      <c r="AH9" s="47"/>
      <c r="AI9" s="47"/>
      <c r="AJ9" s="47"/>
      <c r="AK9" s="38"/>
      <c r="AL9" s="38"/>
      <c r="AM9" s="38"/>
      <c r="AN9" s="38"/>
      <c r="AO9" s="38"/>
      <c r="AP9" s="34" t="s">
        <v>2650</v>
      </c>
      <c r="AQ9" s="34" t="s">
        <v>2651</v>
      </c>
      <c r="AR9" s="34" t="s">
        <v>2652</v>
      </c>
      <c r="AS9" s="34" t="s">
        <v>2653</v>
      </c>
      <c r="AT9" s="38"/>
      <c r="AU9" s="38"/>
      <c r="AV9" s="39"/>
    </row>
    <row r="10" spans="1:48">
      <c r="A10" s="34"/>
      <c r="B10" s="34"/>
      <c r="C10" s="34"/>
      <c r="D10" s="34"/>
      <c r="E10" s="34" t="s">
        <v>2670</v>
      </c>
      <c r="F10" s="34" t="s">
        <v>2671</v>
      </c>
      <c r="G10" s="34" t="s">
        <v>2672</v>
      </c>
      <c r="H10" s="28" t="s">
        <v>2673</v>
      </c>
      <c r="I10" s="28" t="s">
        <v>2674</v>
      </c>
      <c r="J10" s="34"/>
      <c r="K10" s="34"/>
      <c r="L10" s="34"/>
      <c r="M10" s="34"/>
      <c r="N10" s="34"/>
      <c r="O10" s="34"/>
      <c r="P10" s="36"/>
      <c r="Q10" s="33" t="s">
        <v>2675</v>
      </c>
      <c r="R10" s="34" t="s">
        <v>2676</v>
      </c>
      <c r="S10" s="34" t="s">
        <v>2677</v>
      </c>
      <c r="T10" s="34" t="s">
        <v>2678</v>
      </c>
      <c r="U10" s="34" t="s">
        <v>2679</v>
      </c>
      <c r="V10" s="34" t="s">
        <v>2680</v>
      </c>
      <c r="W10" s="34" t="s">
        <v>2681</v>
      </c>
      <c r="X10" s="34" t="s">
        <v>2682</v>
      </c>
      <c r="Y10" s="34" t="s">
        <v>2683</v>
      </c>
      <c r="Z10" s="34" t="s">
        <v>2684</v>
      </c>
      <c r="AA10" s="34" t="s">
        <v>2685</v>
      </c>
      <c r="AB10" s="34" t="s">
        <v>2686</v>
      </c>
      <c r="AC10" s="34" t="s">
        <v>2687</v>
      </c>
      <c r="AD10" s="34" t="s">
        <v>2688</v>
      </c>
      <c r="AE10" s="34" t="s">
        <v>2689</v>
      </c>
      <c r="AF10" s="36" t="s">
        <v>2690</v>
      </c>
      <c r="AG10" s="34"/>
      <c r="AH10" s="47"/>
      <c r="AI10" s="47"/>
      <c r="AJ10" s="47"/>
      <c r="AK10" s="38"/>
      <c r="AL10" s="38"/>
      <c r="AM10" s="38"/>
      <c r="AN10" s="38"/>
      <c r="AO10" s="38"/>
      <c r="AP10" s="38"/>
      <c r="AQ10" s="38"/>
      <c r="AR10" s="38"/>
      <c r="AS10" s="38"/>
      <c r="AT10" s="38"/>
      <c r="AU10" s="38"/>
      <c r="AV10" s="39"/>
    </row>
    <row r="11" spans="1:48">
      <c r="A11" s="33"/>
      <c r="B11" s="34"/>
      <c r="C11" s="34"/>
      <c r="D11" s="34"/>
      <c r="E11" s="34"/>
      <c r="F11" s="34"/>
      <c r="G11" s="34"/>
      <c r="H11" s="34"/>
      <c r="I11" s="34"/>
      <c r="J11" s="34"/>
      <c r="K11" s="34"/>
      <c r="L11" s="34"/>
      <c r="M11" s="34"/>
      <c r="N11" s="34"/>
      <c r="O11" s="34"/>
      <c r="P11" s="36"/>
      <c r="Q11" s="33" t="s">
        <v>2691</v>
      </c>
      <c r="R11" s="34" t="s">
        <v>2692</v>
      </c>
      <c r="S11" s="34" t="s">
        <v>2693</v>
      </c>
      <c r="T11" s="34" t="s">
        <v>2694</v>
      </c>
      <c r="U11" s="34" t="s">
        <v>2695</v>
      </c>
      <c r="V11" s="34" t="s">
        <v>2696</v>
      </c>
      <c r="W11" s="34" t="s">
        <v>2697</v>
      </c>
      <c r="X11" s="34" t="s">
        <v>2698</v>
      </c>
      <c r="Y11" s="34" t="s">
        <v>2699</v>
      </c>
      <c r="Z11" s="34" t="s">
        <v>2700</v>
      </c>
      <c r="AA11" s="34" t="s">
        <v>2701</v>
      </c>
      <c r="AB11" s="34" t="s">
        <v>2702</v>
      </c>
      <c r="AC11" s="34" t="s">
        <v>2703</v>
      </c>
      <c r="AD11" s="34" t="s">
        <v>2704</v>
      </c>
      <c r="AE11" s="34" t="s">
        <v>2705</v>
      </c>
      <c r="AF11" s="36" t="s">
        <v>2706</v>
      </c>
      <c r="AG11" s="37"/>
      <c r="AH11" s="38"/>
      <c r="AI11" s="38"/>
      <c r="AJ11" s="38"/>
      <c r="AK11" s="38"/>
      <c r="AL11" s="38"/>
      <c r="AM11" s="38"/>
      <c r="AN11" s="38"/>
      <c r="AO11" s="38"/>
      <c r="AP11" s="38"/>
      <c r="AQ11" s="38"/>
      <c r="AR11" s="38"/>
      <c r="AS11" s="38"/>
      <c r="AT11" s="38"/>
      <c r="AU11" s="38"/>
      <c r="AV11" s="39"/>
    </row>
    <row r="12" spans="1:48">
      <c r="A12" s="33" t="s">
        <v>2707</v>
      </c>
      <c r="B12" s="34">
        <v>0</v>
      </c>
      <c r="C12" s="34">
        <v>1</v>
      </c>
      <c r="D12" s="34">
        <v>2</v>
      </c>
      <c r="E12" s="34">
        <v>3</v>
      </c>
      <c r="F12" s="34">
        <v>4</v>
      </c>
      <c r="G12" s="34">
        <v>5</v>
      </c>
      <c r="H12" s="34">
        <v>6</v>
      </c>
      <c r="I12" s="34">
        <v>7</v>
      </c>
      <c r="J12" s="34">
        <v>8</v>
      </c>
      <c r="K12" s="34">
        <v>9</v>
      </c>
      <c r="L12" s="34" t="s">
        <v>2708</v>
      </c>
      <c r="M12" s="34" t="s">
        <v>2709</v>
      </c>
      <c r="N12" s="34" t="s">
        <v>2710</v>
      </c>
      <c r="O12" s="34" t="s">
        <v>134</v>
      </c>
      <c r="P12" s="36" t="s">
        <v>2711</v>
      </c>
      <c r="Q12" s="33" t="s">
        <v>2712</v>
      </c>
      <c r="R12" s="34">
        <v>0</v>
      </c>
      <c r="S12" s="34">
        <v>1</v>
      </c>
      <c r="T12" s="34">
        <v>2</v>
      </c>
      <c r="U12" s="34">
        <v>3</v>
      </c>
      <c r="V12" s="34">
        <v>4</v>
      </c>
      <c r="W12" s="34">
        <v>5</v>
      </c>
      <c r="X12" s="34">
        <v>6</v>
      </c>
      <c r="Y12" s="34">
        <v>7</v>
      </c>
      <c r="Z12" s="34">
        <v>8</v>
      </c>
      <c r="AA12" s="34">
        <v>9</v>
      </c>
      <c r="AB12" s="34" t="s">
        <v>2713</v>
      </c>
      <c r="AC12" s="34" t="s">
        <v>2714</v>
      </c>
      <c r="AD12" s="34" t="s">
        <v>2715</v>
      </c>
      <c r="AE12" s="34" t="s">
        <v>2716</v>
      </c>
      <c r="AF12" s="36" t="s">
        <v>2711</v>
      </c>
      <c r="AG12" s="37"/>
      <c r="AH12" s="38">
        <v>0</v>
      </c>
      <c r="AI12" s="38">
        <v>1</v>
      </c>
      <c r="AJ12" s="38">
        <v>2</v>
      </c>
      <c r="AK12" s="38">
        <v>3</v>
      </c>
      <c r="AL12" s="38">
        <v>4</v>
      </c>
      <c r="AM12" s="38">
        <v>5</v>
      </c>
      <c r="AN12" s="38">
        <v>6</v>
      </c>
      <c r="AO12" s="38">
        <v>7</v>
      </c>
      <c r="AP12" s="38">
        <v>8</v>
      </c>
      <c r="AQ12" s="38">
        <v>9</v>
      </c>
      <c r="AR12" s="38" t="s">
        <v>2708</v>
      </c>
      <c r="AS12" s="38" t="s">
        <v>2709</v>
      </c>
      <c r="AT12" s="38" t="s">
        <v>2710</v>
      </c>
      <c r="AU12" s="34" t="s">
        <v>134</v>
      </c>
      <c r="AV12" s="39" t="s">
        <v>2711</v>
      </c>
    </row>
    <row r="13" spans="1:48">
      <c r="A13" s="33" t="s">
        <v>2717</v>
      </c>
      <c r="B13" s="34" t="s">
        <v>2718</v>
      </c>
      <c r="C13" s="34" t="s">
        <v>2719</v>
      </c>
      <c r="D13" s="34" t="s">
        <v>2720</v>
      </c>
      <c r="E13" s="34" t="s">
        <v>2721</v>
      </c>
      <c r="F13" s="34" t="s">
        <v>2722</v>
      </c>
      <c r="G13" s="34" t="s">
        <v>2723</v>
      </c>
      <c r="H13" s="34"/>
      <c r="I13" s="34" t="s">
        <v>2724</v>
      </c>
      <c r="J13" s="34" t="s">
        <v>2725</v>
      </c>
      <c r="K13" s="34" t="s">
        <v>2726</v>
      </c>
      <c r="L13" s="34" t="s">
        <v>2727</v>
      </c>
      <c r="M13" s="34" t="s">
        <v>2728</v>
      </c>
      <c r="N13" s="34" t="s">
        <v>2729</v>
      </c>
      <c r="O13" s="34" t="s">
        <v>2730</v>
      </c>
      <c r="P13" s="36" t="s">
        <v>2731</v>
      </c>
      <c r="Q13" s="33" t="s">
        <v>2732</v>
      </c>
      <c r="R13" s="34" t="s">
        <v>2733</v>
      </c>
      <c r="S13" s="34" t="s">
        <v>2734</v>
      </c>
      <c r="T13" s="34" t="s">
        <v>2735</v>
      </c>
      <c r="U13" s="34" t="s">
        <v>2736</v>
      </c>
      <c r="V13" s="34" t="s">
        <v>2722</v>
      </c>
      <c r="W13" s="34" t="s">
        <v>2723</v>
      </c>
      <c r="X13" s="34" t="s">
        <v>2737</v>
      </c>
      <c r="Y13" s="34" t="s">
        <v>2710</v>
      </c>
      <c r="Z13" s="34" t="s">
        <v>2725</v>
      </c>
      <c r="AA13" s="34" t="s">
        <v>2726</v>
      </c>
      <c r="AB13" s="34" t="s">
        <v>2727</v>
      </c>
      <c r="AC13" s="34" t="s">
        <v>2728</v>
      </c>
      <c r="AD13" s="34" t="s">
        <v>2729</v>
      </c>
      <c r="AE13" s="34" t="s">
        <v>2730</v>
      </c>
      <c r="AF13" s="36" t="s">
        <v>2731</v>
      </c>
      <c r="AG13" s="37" t="s">
        <v>2717</v>
      </c>
      <c r="AH13" s="38" t="s">
        <v>2733</v>
      </c>
      <c r="AI13" s="38" t="s">
        <v>2734</v>
      </c>
      <c r="AJ13" s="38" t="s">
        <v>2735</v>
      </c>
      <c r="AK13" s="38" t="s">
        <v>2736</v>
      </c>
      <c r="AL13" s="38" t="s">
        <v>2722</v>
      </c>
      <c r="AM13" s="38" t="s">
        <v>2723</v>
      </c>
      <c r="AN13" s="38"/>
      <c r="AO13" s="38" t="s">
        <v>2724</v>
      </c>
      <c r="AP13" s="38" t="s">
        <v>2725</v>
      </c>
      <c r="AQ13" s="38" t="s">
        <v>2726</v>
      </c>
      <c r="AR13" s="38" t="s">
        <v>2727</v>
      </c>
      <c r="AS13" s="38" t="s">
        <v>2728</v>
      </c>
      <c r="AT13" s="38" t="s">
        <v>2729</v>
      </c>
      <c r="AU13" s="38" t="s">
        <v>2730</v>
      </c>
      <c r="AV13" s="39" t="s">
        <v>2731</v>
      </c>
    </row>
    <row r="14" spans="1:48">
      <c r="A14" s="33" t="s">
        <v>2738</v>
      </c>
      <c r="B14" s="34" t="s">
        <v>2739</v>
      </c>
      <c r="C14" s="34" t="s">
        <v>2740</v>
      </c>
      <c r="D14" s="34" t="s">
        <v>2741</v>
      </c>
      <c r="E14" s="34" t="s">
        <v>2742</v>
      </c>
      <c r="F14" s="34" t="s">
        <v>2743</v>
      </c>
      <c r="G14" s="34" t="s">
        <v>2744</v>
      </c>
      <c r="H14" s="34" t="s">
        <v>2745</v>
      </c>
      <c r="I14" s="34" t="s">
        <v>2746</v>
      </c>
      <c r="J14" s="34" t="s">
        <v>2747</v>
      </c>
      <c r="K14" s="34" t="s">
        <v>2748</v>
      </c>
      <c r="L14" s="34" t="s">
        <v>2749</v>
      </c>
      <c r="M14" s="34" t="s">
        <v>2750</v>
      </c>
      <c r="N14" s="34" t="s">
        <v>2751</v>
      </c>
      <c r="O14" s="34" t="s">
        <v>2752</v>
      </c>
      <c r="P14" s="36" t="s">
        <v>2753</v>
      </c>
      <c r="Q14" s="33" t="s">
        <v>2738</v>
      </c>
      <c r="R14" s="34" t="s">
        <v>2739</v>
      </c>
      <c r="S14" s="34" t="s">
        <v>2740</v>
      </c>
      <c r="T14" s="34" t="s">
        <v>2741</v>
      </c>
      <c r="U14" s="34" t="s">
        <v>2742</v>
      </c>
      <c r="V14" s="34" t="s">
        <v>2743</v>
      </c>
      <c r="W14" s="34" t="s">
        <v>2744</v>
      </c>
      <c r="X14" s="34" t="s">
        <v>2745</v>
      </c>
      <c r="Y14" s="34" t="s">
        <v>2746</v>
      </c>
      <c r="Z14" s="34" t="s">
        <v>2747</v>
      </c>
      <c r="AA14" s="34" t="s">
        <v>2748</v>
      </c>
      <c r="AB14" s="34" t="s">
        <v>2749</v>
      </c>
      <c r="AC14" s="34" t="s">
        <v>2750</v>
      </c>
      <c r="AD14" s="34" t="s">
        <v>2751</v>
      </c>
      <c r="AE14" s="34" t="s">
        <v>2752</v>
      </c>
      <c r="AF14" s="36" t="s">
        <v>2753</v>
      </c>
      <c r="AG14" s="37" t="s">
        <v>2738</v>
      </c>
      <c r="AH14" s="38" t="s">
        <v>2739</v>
      </c>
      <c r="AI14" s="38" t="s">
        <v>2740</v>
      </c>
      <c r="AJ14" s="38" t="s">
        <v>2741</v>
      </c>
      <c r="AK14" s="38" t="s">
        <v>2742</v>
      </c>
      <c r="AL14" s="38" t="s">
        <v>2743</v>
      </c>
      <c r="AM14" s="38" t="s">
        <v>2744</v>
      </c>
      <c r="AN14" s="38" t="s">
        <v>2745</v>
      </c>
      <c r="AO14" s="38" t="s">
        <v>2746</v>
      </c>
      <c r="AP14" s="38" t="s">
        <v>2747</v>
      </c>
      <c r="AQ14" s="38" t="s">
        <v>2748</v>
      </c>
      <c r="AR14" s="38" t="s">
        <v>2749</v>
      </c>
      <c r="AS14" s="38" t="s">
        <v>2750</v>
      </c>
      <c r="AT14" s="38" t="s">
        <v>2751</v>
      </c>
      <c r="AU14" s="38" t="s">
        <v>2752</v>
      </c>
      <c r="AV14" s="39" t="s">
        <v>2753</v>
      </c>
    </row>
    <row r="15" spans="1:48">
      <c r="A15" s="33" t="s">
        <v>2754</v>
      </c>
      <c r="B15" s="34" t="s">
        <v>2755</v>
      </c>
      <c r="C15" s="34" t="s">
        <v>2756</v>
      </c>
      <c r="D15" s="34" t="s">
        <v>2757</v>
      </c>
      <c r="E15" s="34" t="s">
        <v>2758</v>
      </c>
      <c r="F15" s="34" t="s">
        <v>2759</v>
      </c>
      <c r="G15" s="34" t="s">
        <v>2760</v>
      </c>
      <c r="H15" s="34" t="s">
        <v>2761</v>
      </c>
      <c r="I15" s="34" t="s">
        <v>2762</v>
      </c>
      <c r="J15" s="34" t="s">
        <v>2763</v>
      </c>
      <c r="K15" s="34" t="s">
        <v>2764</v>
      </c>
      <c r="L15" s="34" t="s">
        <v>2765</v>
      </c>
      <c r="M15" s="34" t="s">
        <v>2766</v>
      </c>
      <c r="N15" s="34" t="s">
        <v>2767</v>
      </c>
      <c r="O15" s="34" t="s">
        <v>2768</v>
      </c>
      <c r="P15" s="36" t="s">
        <v>2769</v>
      </c>
      <c r="Q15" s="33" t="s">
        <v>2754</v>
      </c>
      <c r="R15" s="34" t="s">
        <v>2755</v>
      </c>
      <c r="S15" s="34" t="s">
        <v>2756</v>
      </c>
      <c r="T15" s="34" t="s">
        <v>2757</v>
      </c>
      <c r="U15" s="34" t="s">
        <v>2758</v>
      </c>
      <c r="V15" s="34" t="s">
        <v>2759</v>
      </c>
      <c r="W15" s="34" t="s">
        <v>2760</v>
      </c>
      <c r="X15" s="34" t="s">
        <v>2761</v>
      </c>
      <c r="Y15" s="34" t="s">
        <v>2762</v>
      </c>
      <c r="Z15" s="34" t="s">
        <v>2763</v>
      </c>
      <c r="AA15" s="34" t="s">
        <v>2764</v>
      </c>
      <c r="AB15" s="34" t="s">
        <v>2765</v>
      </c>
      <c r="AC15" s="34" t="s">
        <v>2766</v>
      </c>
      <c r="AD15" s="34" t="s">
        <v>2767</v>
      </c>
      <c r="AE15" s="34" t="s">
        <v>2768</v>
      </c>
      <c r="AF15" s="36" t="s">
        <v>2769</v>
      </c>
      <c r="AG15" s="37" t="s">
        <v>2754</v>
      </c>
      <c r="AH15" s="38" t="s">
        <v>2755</v>
      </c>
      <c r="AI15" s="38" t="s">
        <v>2756</v>
      </c>
      <c r="AJ15" s="38" t="s">
        <v>2757</v>
      </c>
      <c r="AK15" s="38" t="s">
        <v>2758</v>
      </c>
      <c r="AL15" s="38" t="s">
        <v>2759</v>
      </c>
      <c r="AM15" s="38" t="s">
        <v>2760</v>
      </c>
      <c r="AN15" s="38" t="s">
        <v>2761</v>
      </c>
      <c r="AO15" s="38" t="s">
        <v>2762</v>
      </c>
      <c r="AP15" s="38" t="s">
        <v>2763</v>
      </c>
      <c r="AQ15" s="38" t="s">
        <v>2764</v>
      </c>
      <c r="AR15" s="38" t="s">
        <v>2765</v>
      </c>
      <c r="AS15" s="38" t="s">
        <v>2766</v>
      </c>
      <c r="AT15" s="38" t="s">
        <v>2767</v>
      </c>
      <c r="AU15" s="38" t="s">
        <v>2768</v>
      </c>
      <c r="AV15" s="39" t="s">
        <v>2769</v>
      </c>
    </row>
    <row r="16" spans="1:48">
      <c r="A16" s="33" t="s">
        <v>2770</v>
      </c>
      <c r="B16" s="34" t="s">
        <v>2771</v>
      </c>
      <c r="C16" s="34" t="s">
        <v>2772</v>
      </c>
      <c r="D16" s="34" t="s">
        <v>2773</v>
      </c>
      <c r="E16" s="34" t="s">
        <v>2774</v>
      </c>
      <c r="F16" s="34" t="s">
        <v>2775</v>
      </c>
      <c r="G16" s="34" t="s">
        <v>2776</v>
      </c>
      <c r="H16" s="34" t="s">
        <v>2777</v>
      </c>
      <c r="I16" s="34" t="s">
        <v>2778</v>
      </c>
      <c r="J16" s="34" t="s">
        <v>2779</v>
      </c>
      <c r="K16" s="34" t="s">
        <v>2780</v>
      </c>
      <c r="L16" s="34" t="s">
        <v>2781</v>
      </c>
      <c r="M16" s="34" t="s">
        <v>2782</v>
      </c>
      <c r="N16" s="34" t="s">
        <v>2783</v>
      </c>
      <c r="O16" s="34" t="s">
        <v>2784</v>
      </c>
      <c r="P16" s="36" t="s">
        <v>2785</v>
      </c>
      <c r="Q16" s="33" t="s">
        <v>2770</v>
      </c>
      <c r="R16" s="34" t="s">
        <v>2771</v>
      </c>
      <c r="S16" s="34" t="s">
        <v>2772</v>
      </c>
      <c r="T16" s="34" t="s">
        <v>2773</v>
      </c>
      <c r="U16" s="34" t="s">
        <v>2774</v>
      </c>
      <c r="V16" s="34" t="s">
        <v>2775</v>
      </c>
      <c r="W16" s="34" t="s">
        <v>2776</v>
      </c>
      <c r="X16" s="34" t="s">
        <v>2777</v>
      </c>
      <c r="Y16" s="34" t="s">
        <v>2778</v>
      </c>
      <c r="Z16" s="34" t="s">
        <v>2779</v>
      </c>
      <c r="AA16" s="34" t="s">
        <v>2780</v>
      </c>
      <c r="AB16" s="34" t="s">
        <v>2781</v>
      </c>
      <c r="AC16" s="34" t="s">
        <v>2782</v>
      </c>
      <c r="AD16" s="34" t="s">
        <v>2783</v>
      </c>
      <c r="AE16" s="34" t="s">
        <v>2784</v>
      </c>
      <c r="AF16" s="35" t="s">
        <v>134</v>
      </c>
      <c r="AG16" s="37" t="s">
        <v>2770</v>
      </c>
      <c r="AH16" s="38" t="s">
        <v>2771</v>
      </c>
      <c r="AI16" s="38" t="s">
        <v>2772</v>
      </c>
      <c r="AJ16" s="38" t="s">
        <v>2773</v>
      </c>
      <c r="AK16" s="38" t="s">
        <v>2774</v>
      </c>
      <c r="AL16" s="38" t="s">
        <v>2775</v>
      </c>
      <c r="AM16" s="38" t="s">
        <v>2776</v>
      </c>
      <c r="AN16" s="38" t="s">
        <v>2777</v>
      </c>
      <c r="AO16" s="38" t="s">
        <v>2778</v>
      </c>
      <c r="AP16" s="38" t="s">
        <v>2779</v>
      </c>
      <c r="AQ16" s="38" t="s">
        <v>2780</v>
      </c>
      <c r="AR16" s="38" t="s">
        <v>2781</v>
      </c>
      <c r="AS16" s="38" t="s">
        <v>2782</v>
      </c>
      <c r="AT16" s="38" t="s">
        <v>2783</v>
      </c>
      <c r="AU16" s="38" t="s">
        <v>2784</v>
      </c>
      <c r="AV16" s="39" t="s">
        <v>2785</v>
      </c>
    </row>
    <row r="17" spans="1:48">
      <c r="A17" s="49" t="s">
        <v>2786</v>
      </c>
      <c r="B17" s="50" t="s">
        <v>2787</v>
      </c>
      <c r="C17" s="50" t="s">
        <v>2788</v>
      </c>
      <c r="D17" s="50" t="s">
        <v>2789</v>
      </c>
      <c r="E17" s="50" t="s">
        <v>2790</v>
      </c>
      <c r="F17" s="50" t="s">
        <v>2791</v>
      </c>
      <c r="G17" s="50" t="s">
        <v>2792</v>
      </c>
      <c r="H17" s="51" t="s">
        <v>2793</v>
      </c>
      <c r="I17" s="51"/>
      <c r="J17" s="51"/>
      <c r="K17" s="51" t="s">
        <v>2794</v>
      </c>
      <c r="L17" s="51" t="s">
        <v>2795</v>
      </c>
      <c r="M17" s="51" t="s">
        <v>2796</v>
      </c>
      <c r="N17" s="51" t="s">
        <v>2797</v>
      </c>
      <c r="O17" s="51" t="s">
        <v>2798</v>
      </c>
      <c r="P17" s="52" t="s">
        <v>2799</v>
      </c>
      <c r="Q17" s="49" t="s">
        <v>2800</v>
      </c>
      <c r="R17" s="50"/>
      <c r="S17" s="50"/>
      <c r="T17" s="50"/>
      <c r="U17" s="53" t="s">
        <v>2485</v>
      </c>
      <c r="V17" s="50" t="s">
        <v>2509</v>
      </c>
      <c r="W17" s="50"/>
      <c r="X17" s="51" t="s">
        <v>2793</v>
      </c>
      <c r="Y17" s="53" t="s">
        <v>2801</v>
      </c>
      <c r="Z17" s="53"/>
      <c r="AA17" s="51" t="s">
        <v>2794</v>
      </c>
      <c r="AB17" s="51" t="s">
        <v>2795</v>
      </c>
      <c r="AC17" s="51" t="s">
        <v>2796</v>
      </c>
      <c r="AD17" s="51" t="s">
        <v>2797</v>
      </c>
      <c r="AE17" s="51" t="s">
        <v>2798</v>
      </c>
      <c r="AF17" s="52" t="s">
        <v>2799</v>
      </c>
      <c r="AG17" s="54" t="s">
        <v>2786</v>
      </c>
      <c r="AH17" s="55" t="s">
        <v>2787</v>
      </c>
      <c r="AI17" s="55" t="s">
        <v>2788</v>
      </c>
      <c r="AJ17" s="55" t="s">
        <v>2789</v>
      </c>
      <c r="AK17" s="55" t="s">
        <v>2790</v>
      </c>
      <c r="AL17" s="55" t="s">
        <v>2791</v>
      </c>
      <c r="AM17" s="55" t="s">
        <v>2792</v>
      </c>
      <c r="AN17" s="56" t="s">
        <v>2793</v>
      </c>
      <c r="AO17" s="56"/>
      <c r="AP17" s="56"/>
      <c r="AQ17" s="56" t="s">
        <v>2794</v>
      </c>
      <c r="AR17" s="56" t="s">
        <v>2795</v>
      </c>
      <c r="AS17" s="56" t="s">
        <v>2796</v>
      </c>
      <c r="AT17" s="56" t="s">
        <v>2797</v>
      </c>
      <c r="AU17" s="56" t="s">
        <v>2798</v>
      </c>
      <c r="AV17" s="57" t="s">
        <v>2799</v>
      </c>
    </row>
    <row r="18" spans="1:48">
      <c r="A18" s="80" t="s">
        <v>2802</v>
      </c>
      <c r="B18" s="76"/>
      <c r="C18" s="76"/>
      <c r="D18" s="76"/>
      <c r="E18" s="76"/>
      <c r="F18" s="76"/>
      <c r="G18" s="76"/>
      <c r="H18" s="76"/>
      <c r="I18" s="76"/>
      <c r="J18" s="76"/>
      <c r="K18" s="76"/>
      <c r="L18" s="76"/>
      <c r="M18" s="76"/>
      <c r="N18" s="76"/>
      <c r="O18" s="76"/>
      <c r="P18" s="76"/>
      <c r="Q18" s="76"/>
      <c r="R18" s="76"/>
      <c r="S18" s="76"/>
      <c r="T18" s="76"/>
      <c r="U18" s="76"/>
      <c r="V18" s="76"/>
      <c r="W18" s="76"/>
      <c r="X18" s="76"/>
      <c r="Y18" s="76"/>
      <c r="Z18" s="76"/>
      <c r="AA18" s="76"/>
      <c r="AB18" s="76"/>
      <c r="AC18" s="76"/>
      <c r="AD18" s="76"/>
      <c r="AE18" s="76"/>
      <c r="AF18" s="76"/>
      <c r="AG18" s="58"/>
      <c r="AH18" s="59" t="s">
        <v>2803</v>
      </c>
      <c r="AI18" s="59" t="s">
        <v>2804</v>
      </c>
      <c r="AJ18" s="59" t="s">
        <v>2805</v>
      </c>
      <c r="AK18" s="59" t="s">
        <v>2806</v>
      </c>
      <c r="AL18" s="59" t="s">
        <v>2807</v>
      </c>
      <c r="AM18" s="59" t="s">
        <v>2808</v>
      </c>
      <c r="AN18" s="59" t="s">
        <v>2809</v>
      </c>
      <c r="AO18" s="59" t="s">
        <v>2810</v>
      </c>
      <c r="AP18" s="59" t="s">
        <v>2811</v>
      </c>
      <c r="AQ18" s="59" t="s">
        <v>2812</v>
      </c>
      <c r="AR18" s="59" t="s">
        <v>2813</v>
      </c>
      <c r="AS18" s="59" t="s">
        <v>2814</v>
      </c>
      <c r="AT18" s="59" t="s">
        <v>2815</v>
      </c>
      <c r="AU18" s="59" t="s">
        <v>2816</v>
      </c>
      <c r="AV18" s="60" t="s">
        <v>2817</v>
      </c>
    </row>
    <row r="19" spans="1:48">
      <c r="A19" s="80" t="s">
        <v>2818</v>
      </c>
      <c r="B19" s="76"/>
      <c r="C19" s="76"/>
      <c r="D19" s="80" t="s">
        <v>2819</v>
      </c>
      <c r="E19" s="76"/>
      <c r="F19" s="76"/>
      <c r="G19" s="80"/>
      <c r="H19" s="76"/>
      <c r="I19" s="76"/>
      <c r="J19" s="76"/>
      <c r="K19" s="76"/>
      <c r="L19" s="76"/>
      <c r="M19" s="76"/>
      <c r="N19" s="76"/>
      <c r="O19" s="76"/>
      <c r="P19" s="76"/>
      <c r="Q19" s="76"/>
      <c r="R19" s="76"/>
      <c r="S19" s="76"/>
      <c r="T19" s="76"/>
      <c r="U19" s="76"/>
      <c r="V19" s="76"/>
      <c r="W19" s="76"/>
      <c r="X19" s="76"/>
      <c r="Y19" s="76"/>
      <c r="Z19" s="76"/>
      <c r="AA19" s="76"/>
      <c r="AB19" s="76"/>
      <c r="AC19" s="76"/>
      <c r="AD19" s="76"/>
      <c r="AE19" s="76"/>
      <c r="AF19" s="76"/>
      <c r="AG19" s="61" t="s">
        <v>2820</v>
      </c>
      <c r="AH19" s="62" t="s">
        <v>2821</v>
      </c>
      <c r="AI19" s="62" t="s">
        <v>2822</v>
      </c>
      <c r="AJ19" s="62" t="s">
        <v>2823</v>
      </c>
      <c r="AK19" s="62" t="s">
        <v>2824</v>
      </c>
      <c r="AL19" s="62" t="s">
        <v>2825</v>
      </c>
      <c r="AM19" s="62" t="s">
        <v>2826</v>
      </c>
      <c r="AN19" s="62" t="s">
        <v>2827</v>
      </c>
      <c r="AO19" s="62" t="s">
        <v>2828</v>
      </c>
      <c r="AP19" s="62" t="s">
        <v>2829</v>
      </c>
      <c r="AQ19" s="62" t="s">
        <v>2830</v>
      </c>
      <c r="AR19" s="62" t="s">
        <v>2831</v>
      </c>
      <c r="AS19" s="62" t="s">
        <v>2832</v>
      </c>
      <c r="AT19" s="62" t="s">
        <v>2833</v>
      </c>
      <c r="AU19" s="62" t="s">
        <v>2834</v>
      </c>
      <c r="AV19" s="63" t="s">
        <v>2835</v>
      </c>
    </row>
    <row r="20" spans="1:48">
      <c r="A20" s="75" t="s">
        <v>2794</v>
      </c>
      <c r="B20" s="76"/>
      <c r="C20" s="76"/>
      <c r="D20" s="77" t="s">
        <v>2836</v>
      </c>
      <c r="E20" s="76"/>
      <c r="F20" s="76"/>
      <c r="G20" s="81" t="s">
        <v>2837</v>
      </c>
      <c r="H20" s="76"/>
      <c r="I20" s="76"/>
      <c r="J20" s="76"/>
      <c r="K20" s="76"/>
      <c r="L20" s="76"/>
      <c r="M20" s="76"/>
      <c r="N20" s="76"/>
      <c r="O20" s="76"/>
      <c r="P20" s="76"/>
      <c r="Q20" s="76"/>
      <c r="R20" s="76"/>
      <c r="S20" s="76"/>
      <c r="T20" s="76"/>
      <c r="U20" s="76"/>
      <c r="V20" s="76"/>
      <c r="W20" s="76"/>
      <c r="X20" s="76"/>
      <c r="Y20" s="76"/>
      <c r="Z20" s="76"/>
      <c r="AA20" s="76"/>
      <c r="AB20" s="76"/>
      <c r="AC20" s="76"/>
      <c r="AD20" s="76"/>
      <c r="AE20" s="76"/>
      <c r="AF20" s="76"/>
      <c r="AG20" s="61" t="s">
        <v>2838</v>
      </c>
      <c r="AH20" s="62" t="s">
        <v>2839</v>
      </c>
      <c r="AI20" s="62" t="s">
        <v>2840</v>
      </c>
      <c r="AJ20" s="62" t="s">
        <v>2841</v>
      </c>
      <c r="AK20" s="62" t="s">
        <v>2842</v>
      </c>
      <c r="AL20" s="62" t="s">
        <v>2843</v>
      </c>
      <c r="AM20" s="62" t="s">
        <v>2844</v>
      </c>
      <c r="AN20" s="62" t="s">
        <v>2845</v>
      </c>
      <c r="AO20" s="62" t="s">
        <v>2846</v>
      </c>
      <c r="AP20" s="62" t="s">
        <v>2847</v>
      </c>
      <c r="AQ20" s="62" t="s">
        <v>2848</v>
      </c>
      <c r="AR20" s="62" t="s">
        <v>2849</v>
      </c>
      <c r="AS20" s="62" t="s">
        <v>2850</v>
      </c>
      <c r="AT20" s="62" t="s">
        <v>2851</v>
      </c>
      <c r="AU20" s="62" t="s">
        <v>2852</v>
      </c>
      <c r="AV20" s="63" t="s">
        <v>2853</v>
      </c>
    </row>
    <row r="21" spans="1:48">
      <c r="A21" s="75" t="s">
        <v>2795</v>
      </c>
      <c r="B21" s="76"/>
      <c r="C21" s="76"/>
      <c r="D21" s="77" t="s">
        <v>2854</v>
      </c>
      <c r="E21" s="76"/>
      <c r="F21" s="76"/>
      <c r="G21" s="81" t="s">
        <v>2855</v>
      </c>
      <c r="H21" s="76"/>
      <c r="I21" s="76"/>
      <c r="J21" s="76"/>
      <c r="K21" s="76"/>
      <c r="L21" s="76"/>
      <c r="M21" s="76"/>
      <c r="N21" s="76"/>
      <c r="O21" s="76"/>
      <c r="P21" s="76"/>
      <c r="Q21" s="76"/>
      <c r="R21" s="76"/>
      <c r="S21" s="76"/>
      <c r="T21" s="76"/>
      <c r="U21" s="76"/>
      <c r="V21" s="76"/>
      <c r="W21" s="76"/>
      <c r="X21" s="76"/>
      <c r="Y21" s="76"/>
      <c r="Z21" s="76"/>
      <c r="AA21" s="76"/>
      <c r="AB21" s="76"/>
      <c r="AC21" s="76"/>
      <c r="AD21" s="76"/>
      <c r="AE21" s="76"/>
      <c r="AF21" s="76"/>
      <c r="AG21" s="61" t="s">
        <v>2856</v>
      </c>
      <c r="AH21" s="62" t="s">
        <v>2857</v>
      </c>
      <c r="AI21" s="62" t="s">
        <v>2858</v>
      </c>
      <c r="AJ21" s="62" t="s">
        <v>2859</v>
      </c>
      <c r="AK21" s="62" t="s">
        <v>2860</v>
      </c>
      <c r="AL21" s="62" t="s">
        <v>2861</v>
      </c>
      <c r="AM21" s="62" t="s">
        <v>2862</v>
      </c>
      <c r="AN21" s="62" t="s">
        <v>2863</v>
      </c>
      <c r="AO21" s="62" t="s">
        <v>2864</v>
      </c>
      <c r="AP21" s="62" t="s">
        <v>2865</v>
      </c>
      <c r="AQ21" s="62" t="s">
        <v>2866</v>
      </c>
      <c r="AR21" s="62" t="s">
        <v>2867</v>
      </c>
      <c r="AS21" s="62" t="s">
        <v>2868</v>
      </c>
      <c r="AT21" s="62" t="s">
        <v>2869</v>
      </c>
      <c r="AU21" s="62" t="s">
        <v>2870</v>
      </c>
      <c r="AV21" s="63" t="s">
        <v>2871</v>
      </c>
    </row>
    <row r="22" spans="1:48">
      <c r="A22" s="77" t="s">
        <v>2872</v>
      </c>
      <c r="B22" s="76"/>
      <c r="C22" s="76"/>
      <c r="D22" s="76"/>
      <c r="E22" s="76"/>
      <c r="F22" s="76"/>
      <c r="G22" s="81" t="s">
        <v>2873</v>
      </c>
      <c r="H22" s="76"/>
      <c r="I22" s="76"/>
      <c r="J22" s="76"/>
      <c r="K22" s="76"/>
      <c r="L22" s="76"/>
      <c r="M22" s="76"/>
      <c r="N22" s="76"/>
      <c r="O22" s="76"/>
      <c r="P22" s="76"/>
      <c r="Q22" s="76"/>
      <c r="R22" s="76"/>
      <c r="S22" s="76"/>
      <c r="T22" s="76"/>
      <c r="U22" s="76"/>
      <c r="V22" s="76"/>
      <c r="W22" s="76"/>
      <c r="X22" s="76"/>
      <c r="Y22" s="76"/>
      <c r="Z22" s="76"/>
      <c r="AA22" s="76"/>
      <c r="AB22" s="76"/>
      <c r="AC22" s="76"/>
      <c r="AD22" s="76"/>
      <c r="AE22" s="76"/>
      <c r="AF22" s="76"/>
      <c r="AG22" s="61" t="s">
        <v>2874</v>
      </c>
      <c r="AH22" s="62" t="s">
        <v>2875</v>
      </c>
      <c r="AI22" s="62" t="s">
        <v>2876</v>
      </c>
      <c r="AJ22" s="62" t="s">
        <v>2877</v>
      </c>
      <c r="AK22" s="62" t="s">
        <v>2878</v>
      </c>
      <c r="AL22" s="62" t="s">
        <v>2879</v>
      </c>
      <c r="AM22" s="62" t="s">
        <v>2880</v>
      </c>
      <c r="AN22" s="62" t="s">
        <v>2881</v>
      </c>
      <c r="AO22" s="62" t="s">
        <v>2882</v>
      </c>
      <c r="AP22" s="62" t="s">
        <v>2883</v>
      </c>
      <c r="AQ22" s="62" t="s">
        <v>2884</v>
      </c>
      <c r="AR22" s="62" t="s">
        <v>2885</v>
      </c>
      <c r="AS22" s="62" t="s">
        <v>2886</v>
      </c>
      <c r="AT22" s="62" t="s">
        <v>2887</v>
      </c>
      <c r="AU22" s="62" t="s">
        <v>2888</v>
      </c>
      <c r="AV22" s="63" t="s">
        <v>2889</v>
      </c>
    </row>
    <row r="23" spans="1:48">
      <c r="A23" s="77" t="s">
        <v>2890</v>
      </c>
      <c r="B23" s="76"/>
      <c r="C23" s="76"/>
      <c r="D23" s="76"/>
      <c r="E23" s="76"/>
      <c r="F23" s="76"/>
      <c r="G23" s="81" t="s">
        <v>2891</v>
      </c>
      <c r="H23" s="76"/>
      <c r="I23" s="76"/>
      <c r="J23" s="76"/>
      <c r="K23" s="76"/>
      <c r="L23" s="76"/>
      <c r="M23" s="76"/>
      <c r="N23" s="76"/>
      <c r="O23" s="76"/>
      <c r="P23" s="76"/>
      <c r="Q23" s="76"/>
      <c r="R23" s="76"/>
      <c r="S23" s="76"/>
      <c r="T23" s="76"/>
      <c r="U23" s="76"/>
      <c r="V23" s="76"/>
      <c r="W23" s="76"/>
      <c r="X23" s="76"/>
      <c r="Y23" s="76"/>
      <c r="Z23" s="76"/>
      <c r="AA23" s="76"/>
      <c r="AB23" s="76"/>
      <c r="AC23" s="76"/>
      <c r="AD23" s="76"/>
      <c r="AE23" s="76"/>
      <c r="AF23" s="76"/>
      <c r="AG23" s="61"/>
      <c r="AH23" s="62"/>
      <c r="AI23" s="62"/>
      <c r="AJ23" s="62"/>
      <c r="AK23" s="62"/>
      <c r="AL23" s="62"/>
      <c r="AM23" s="62"/>
      <c r="AN23" s="62"/>
      <c r="AO23" s="62"/>
      <c r="AP23" s="62"/>
      <c r="AQ23" s="62"/>
      <c r="AR23" s="62"/>
      <c r="AS23" s="62"/>
      <c r="AT23" s="62"/>
      <c r="AU23" s="62"/>
      <c r="AV23" s="63"/>
    </row>
    <row r="24" spans="1:48">
      <c r="A24" s="77" t="s">
        <v>2892</v>
      </c>
      <c r="B24" s="76"/>
      <c r="C24" s="76"/>
      <c r="D24" s="76"/>
      <c r="E24" s="76"/>
      <c r="F24" s="76"/>
      <c r="G24" s="81" t="s">
        <v>2893</v>
      </c>
      <c r="H24" s="76"/>
      <c r="I24" s="76"/>
      <c r="J24" s="76"/>
      <c r="K24" s="76"/>
      <c r="L24" s="76"/>
      <c r="M24" s="76"/>
      <c r="N24" s="76"/>
      <c r="O24" s="76"/>
      <c r="P24" s="76"/>
      <c r="Q24" s="76"/>
      <c r="R24" s="76"/>
      <c r="S24" s="76"/>
      <c r="T24" s="76"/>
      <c r="U24" s="76"/>
      <c r="V24" s="76"/>
      <c r="W24" s="76"/>
      <c r="X24" s="76"/>
      <c r="Y24" s="76"/>
      <c r="Z24" s="76"/>
      <c r="AA24" s="76"/>
      <c r="AB24" s="76"/>
      <c r="AC24" s="76"/>
      <c r="AD24" s="76"/>
      <c r="AE24" s="76"/>
      <c r="AF24" s="76"/>
      <c r="AG24" s="61" t="s">
        <v>2894</v>
      </c>
      <c r="AH24" s="62" t="s">
        <v>2895</v>
      </c>
      <c r="AI24" s="62" t="s">
        <v>2896</v>
      </c>
      <c r="AJ24" s="62" t="s">
        <v>2897</v>
      </c>
      <c r="AK24" s="62" t="s">
        <v>2898</v>
      </c>
      <c r="AL24" s="62" t="s">
        <v>2899</v>
      </c>
      <c r="AM24" s="62" t="s">
        <v>2900</v>
      </c>
      <c r="AN24" s="62" t="s">
        <v>2901</v>
      </c>
      <c r="AO24" s="62" t="s">
        <v>2902</v>
      </c>
      <c r="AP24" s="62" t="s">
        <v>2903</v>
      </c>
      <c r="AQ24" s="62" t="s">
        <v>2904</v>
      </c>
      <c r="AR24" s="62" t="s">
        <v>2905</v>
      </c>
      <c r="AS24" s="62" t="s">
        <v>2906</v>
      </c>
      <c r="AT24" s="62" t="s">
        <v>2907</v>
      </c>
      <c r="AU24" s="62" t="s">
        <v>2908</v>
      </c>
      <c r="AV24" s="63"/>
    </row>
    <row r="25" spans="1:48">
      <c r="A25" s="77" t="s">
        <v>2909</v>
      </c>
      <c r="B25" s="76"/>
      <c r="C25" s="76"/>
      <c r="D25" s="76"/>
      <c r="E25" s="76"/>
      <c r="F25" s="76"/>
      <c r="G25" s="81" t="s">
        <v>2910</v>
      </c>
      <c r="H25" s="76"/>
      <c r="I25" s="76"/>
      <c r="J25" s="76"/>
      <c r="K25" s="76"/>
      <c r="L25" s="76"/>
      <c r="M25" s="76"/>
      <c r="N25" s="76"/>
      <c r="O25" s="76"/>
      <c r="P25" s="76"/>
      <c r="Q25" s="76"/>
      <c r="R25" s="76"/>
      <c r="S25" s="76"/>
      <c r="T25" s="76"/>
      <c r="U25" s="76"/>
      <c r="V25" s="76"/>
      <c r="W25" s="76"/>
      <c r="X25" s="76"/>
      <c r="Y25" s="76"/>
      <c r="Z25" s="76"/>
      <c r="AA25" s="76"/>
      <c r="AB25" s="76"/>
      <c r="AC25" s="76"/>
      <c r="AD25" s="76"/>
      <c r="AE25" s="76"/>
      <c r="AF25" s="76"/>
      <c r="AG25" s="61"/>
      <c r="AH25" s="62" t="s">
        <v>2911</v>
      </c>
      <c r="AI25" s="62" t="s">
        <v>2912</v>
      </c>
      <c r="AJ25" s="62" t="s">
        <v>2913</v>
      </c>
      <c r="AK25" s="62" t="s">
        <v>2914</v>
      </c>
      <c r="AL25" s="62" t="s">
        <v>2915</v>
      </c>
      <c r="AM25" s="62" t="s">
        <v>2916</v>
      </c>
      <c r="AN25" s="62" t="s">
        <v>2917</v>
      </c>
      <c r="AO25" s="62" t="s">
        <v>2918</v>
      </c>
      <c r="AP25" s="62" t="s">
        <v>2919</v>
      </c>
      <c r="AQ25" s="62" t="s">
        <v>2920</v>
      </c>
      <c r="AR25" s="62" t="s">
        <v>2921</v>
      </c>
      <c r="AS25" s="62" t="s">
        <v>2922</v>
      </c>
      <c r="AT25" s="62" t="s">
        <v>2923</v>
      </c>
      <c r="AU25" s="62" t="s">
        <v>2924</v>
      </c>
      <c r="AV25" s="63" t="s">
        <v>2925</v>
      </c>
    </row>
    <row r="26" spans="1:48">
      <c r="A26" s="75" t="s">
        <v>2797</v>
      </c>
      <c r="B26" s="76"/>
      <c r="C26" s="76"/>
      <c r="D26" s="77" t="s">
        <v>2926</v>
      </c>
      <c r="E26" s="76"/>
      <c r="F26" s="76"/>
      <c r="G26" s="81" t="s">
        <v>2927</v>
      </c>
      <c r="H26" s="76"/>
      <c r="I26" s="76"/>
      <c r="J26" s="76"/>
      <c r="K26" s="76"/>
      <c r="L26" s="76"/>
      <c r="M26" s="76"/>
      <c r="N26" s="76"/>
      <c r="O26" s="76"/>
      <c r="P26" s="76"/>
      <c r="Q26" s="76"/>
      <c r="R26" s="76"/>
      <c r="S26" s="76"/>
      <c r="T26" s="76"/>
      <c r="U26" s="76"/>
      <c r="V26" s="76"/>
      <c r="W26" s="76"/>
      <c r="X26" s="76"/>
      <c r="Y26" s="76"/>
      <c r="Z26" s="76"/>
      <c r="AA26" s="76"/>
      <c r="AB26" s="76"/>
      <c r="AC26" s="76"/>
      <c r="AD26" s="76"/>
      <c r="AE26" s="76"/>
      <c r="AF26" s="76"/>
      <c r="AG26" s="61" t="s">
        <v>2928</v>
      </c>
      <c r="AH26" s="62" t="s">
        <v>2929</v>
      </c>
      <c r="AI26" s="62" t="s">
        <v>2930</v>
      </c>
      <c r="AJ26" s="62" t="s">
        <v>2931</v>
      </c>
      <c r="AK26" s="62" t="s">
        <v>2932</v>
      </c>
      <c r="AL26" s="62" t="s">
        <v>2933</v>
      </c>
      <c r="AM26" s="62" t="s">
        <v>2934</v>
      </c>
      <c r="AN26" s="62" t="s">
        <v>2935</v>
      </c>
      <c r="AO26" s="62" t="s">
        <v>2936</v>
      </c>
      <c r="AP26" s="62" t="s">
        <v>2937</v>
      </c>
      <c r="AQ26" s="62" t="s">
        <v>2938</v>
      </c>
      <c r="AR26" s="62" t="s">
        <v>2939</v>
      </c>
      <c r="AS26" s="62" t="s">
        <v>2940</v>
      </c>
      <c r="AT26" s="62" t="s">
        <v>2941</v>
      </c>
      <c r="AU26" s="62" t="s">
        <v>2942</v>
      </c>
      <c r="AV26" s="63" t="s">
        <v>2943</v>
      </c>
    </row>
    <row r="27" spans="1:48">
      <c r="A27" s="75" t="s">
        <v>2798</v>
      </c>
      <c r="B27" s="76"/>
      <c r="C27" s="76"/>
      <c r="D27" s="77" t="s">
        <v>2944</v>
      </c>
      <c r="E27" s="76"/>
      <c r="F27" s="76"/>
      <c r="G27" s="81" t="s">
        <v>2945</v>
      </c>
      <c r="H27" s="76"/>
      <c r="I27" s="76"/>
      <c r="J27" s="76"/>
      <c r="K27" s="76"/>
      <c r="L27" s="76"/>
      <c r="M27" s="76"/>
      <c r="N27" s="76"/>
      <c r="O27" s="76"/>
      <c r="P27" s="76"/>
      <c r="Q27" s="76"/>
      <c r="R27" s="76"/>
      <c r="S27" s="76"/>
      <c r="T27" s="76"/>
      <c r="U27" s="76"/>
      <c r="V27" s="76"/>
      <c r="W27" s="76"/>
      <c r="X27" s="76"/>
      <c r="Y27" s="76"/>
      <c r="Z27" s="76"/>
      <c r="AA27" s="76"/>
      <c r="AB27" s="76"/>
      <c r="AC27" s="76"/>
      <c r="AD27" s="76"/>
      <c r="AE27" s="76"/>
      <c r="AF27" s="76"/>
      <c r="AG27" s="61" t="s">
        <v>2946</v>
      </c>
      <c r="AH27" s="62" t="s">
        <v>2947</v>
      </c>
      <c r="AI27" s="62" t="s">
        <v>2948</v>
      </c>
      <c r="AJ27" s="62" t="s">
        <v>2949</v>
      </c>
      <c r="AK27" s="62" t="s">
        <v>2950</v>
      </c>
      <c r="AL27" s="62" t="s">
        <v>2951</v>
      </c>
      <c r="AM27" s="62" t="s">
        <v>2952</v>
      </c>
      <c r="AN27" s="62" t="s">
        <v>2953</v>
      </c>
      <c r="AO27" s="62" t="s">
        <v>2954</v>
      </c>
      <c r="AP27" s="62" t="s">
        <v>2955</v>
      </c>
      <c r="AQ27" s="62" t="s">
        <v>2956</v>
      </c>
      <c r="AR27" s="62" t="s">
        <v>2957</v>
      </c>
      <c r="AS27" s="62" t="s">
        <v>2958</v>
      </c>
      <c r="AT27" s="62" t="s">
        <v>2959</v>
      </c>
      <c r="AU27" s="62" t="s">
        <v>2960</v>
      </c>
      <c r="AV27" s="63" t="s">
        <v>2961</v>
      </c>
    </row>
    <row r="28" spans="1:48">
      <c r="A28" s="75" t="s">
        <v>2557</v>
      </c>
      <c r="B28" s="76"/>
      <c r="C28" s="76"/>
      <c r="D28" s="77" t="s">
        <v>784</v>
      </c>
      <c r="E28" s="76"/>
      <c r="F28" s="76"/>
      <c r="G28" s="82" t="s">
        <v>2962</v>
      </c>
      <c r="H28" s="76"/>
      <c r="I28" s="76"/>
      <c r="J28" s="76"/>
      <c r="K28" s="76"/>
      <c r="L28" s="76"/>
      <c r="M28" s="76"/>
      <c r="N28" s="76"/>
      <c r="O28" s="76"/>
      <c r="P28" s="76"/>
      <c r="Q28" s="76"/>
      <c r="R28" s="76"/>
      <c r="S28" s="76"/>
      <c r="T28" s="76"/>
      <c r="U28" s="76"/>
      <c r="V28" s="76"/>
      <c r="W28" s="76"/>
      <c r="X28" s="76"/>
      <c r="Y28" s="76"/>
      <c r="Z28" s="76"/>
      <c r="AA28" s="76"/>
      <c r="AB28" s="76"/>
      <c r="AC28" s="76"/>
      <c r="AD28" s="76"/>
      <c r="AE28" s="76"/>
      <c r="AF28" s="76"/>
      <c r="AG28" s="61" t="s">
        <v>2963</v>
      </c>
      <c r="AH28" s="62" t="s">
        <v>2964</v>
      </c>
      <c r="AI28" s="62" t="s">
        <v>2965</v>
      </c>
      <c r="AJ28" s="62" t="s">
        <v>2966</v>
      </c>
      <c r="AK28" s="62" t="s">
        <v>2967</v>
      </c>
      <c r="AL28" s="62" t="s">
        <v>2968</v>
      </c>
      <c r="AM28" s="62" t="s">
        <v>2969</v>
      </c>
      <c r="AN28" s="62" t="s">
        <v>2970</v>
      </c>
      <c r="AO28" s="62" t="s">
        <v>2971</v>
      </c>
      <c r="AP28" s="62" t="s">
        <v>2972</v>
      </c>
      <c r="AQ28" s="62" t="s">
        <v>2973</v>
      </c>
      <c r="AR28" s="62" t="s">
        <v>2974</v>
      </c>
      <c r="AS28" s="62" t="s">
        <v>2975</v>
      </c>
      <c r="AT28" s="62" t="s">
        <v>615</v>
      </c>
      <c r="AU28" s="62" t="s">
        <v>2976</v>
      </c>
      <c r="AV28" s="63" t="s">
        <v>2977</v>
      </c>
    </row>
    <row r="29" spans="1:48">
      <c r="A29" s="75" t="s">
        <v>2558</v>
      </c>
      <c r="B29" s="76"/>
      <c r="C29" s="76"/>
      <c r="D29" s="76"/>
      <c r="E29" s="76"/>
      <c r="F29" s="76"/>
      <c r="G29" s="76"/>
      <c r="H29" s="76"/>
      <c r="I29" s="76"/>
      <c r="J29" s="76"/>
      <c r="K29" s="76"/>
      <c r="L29" s="76"/>
      <c r="M29" s="76"/>
      <c r="N29" s="76"/>
      <c r="O29" s="76"/>
      <c r="P29" s="76"/>
      <c r="Q29" s="76"/>
      <c r="R29" s="76"/>
      <c r="S29" s="76"/>
      <c r="T29" s="76"/>
      <c r="U29" s="76"/>
      <c r="V29" s="76"/>
      <c r="W29" s="76"/>
      <c r="X29" s="76"/>
      <c r="Y29" s="76"/>
      <c r="Z29" s="76"/>
      <c r="AA29" s="76"/>
      <c r="AB29" s="76"/>
      <c r="AC29" s="76"/>
      <c r="AD29" s="76"/>
      <c r="AE29" s="76"/>
      <c r="AF29" s="76"/>
      <c r="AG29" s="61" t="s">
        <v>2978</v>
      </c>
      <c r="AH29" s="62" t="s">
        <v>2979</v>
      </c>
      <c r="AI29" s="62" t="s">
        <v>2980</v>
      </c>
      <c r="AJ29" s="62" t="s">
        <v>2981</v>
      </c>
      <c r="AK29" s="62" t="s">
        <v>2982</v>
      </c>
      <c r="AL29" s="62" t="s">
        <v>2983</v>
      </c>
      <c r="AM29" s="62" t="s">
        <v>2984</v>
      </c>
      <c r="AN29" s="62" t="s">
        <v>2985</v>
      </c>
      <c r="AO29" s="62" t="s">
        <v>2986</v>
      </c>
      <c r="AP29" s="62" t="s">
        <v>2987</v>
      </c>
      <c r="AQ29" s="62" t="s">
        <v>2988</v>
      </c>
      <c r="AR29" s="62" t="s">
        <v>2989</v>
      </c>
      <c r="AS29" s="62" t="s">
        <v>2990</v>
      </c>
      <c r="AT29" s="62" t="s">
        <v>2991</v>
      </c>
      <c r="AU29" s="62" t="s">
        <v>2992</v>
      </c>
      <c r="AV29" s="63" t="s">
        <v>2993</v>
      </c>
    </row>
    <row r="30" spans="1:48">
      <c r="A30" s="75" t="s">
        <v>2559</v>
      </c>
      <c r="B30" s="76"/>
      <c r="C30" s="76"/>
      <c r="D30" s="76"/>
      <c r="E30" s="76"/>
      <c r="F30" s="76"/>
      <c r="G30" s="76"/>
      <c r="H30" s="76"/>
      <c r="I30" s="76"/>
      <c r="J30" s="76"/>
      <c r="K30" s="76"/>
      <c r="L30" s="76"/>
      <c r="M30" s="76"/>
      <c r="N30" s="76"/>
      <c r="O30" s="76"/>
      <c r="P30" s="76"/>
      <c r="Q30" s="76"/>
      <c r="R30" s="76"/>
      <c r="S30" s="76"/>
      <c r="T30" s="76"/>
      <c r="U30" s="76"/>
      <c r="V30" s="76"/>
      <c r="W30" s="76"/>
      <c r="X30" s="76"/>
      <c r="Y30" s="76"/>
      <c r="Z30" s="76"/>
      <c r="AA30" s="76"/>
      <c r="AB30" s="76"/>
      <c r="AC30" s="76"/>
      <c r="AD30" s="76"/>
      <c r="AE30" s="76"/>
      <c r="AF30" s="76"/>
      <c r="AG30" s="61" t="s">
        <v>2994</v>
      </c>
      <c r="AH30" s="62" t="s">
        <v>2995</v>
      </c>
      <c r="AI30" s="62" t="s">
        <v>2996</v>
      </c>
      <c r="AJ30" s="62" t="s">
        <v>2997</v>
      </c>
      <c r="AK30" s="62" t="s">
        <v>2998</v>
      </c>
      <c r="AL30" s="62" t="s">
        <v>2999</v>
      </c>
      <c r="AM30" s="62" t="s">
        <v>3000</v>
      </c>
      <c r="AN30" s="62" t="s">
        <v>3001</v>
      </c>
      <c r="AO30" s="62" t="s">
        <v>3002</v>
      </c>
      <c r="AP30" s="62" t="s">
        <v>3003</v>
      </c>
      <c r="AQ30" s="62" t="s">
        <v>3004</v>
      </c>
      <c r="AR30" s="62" t="s">
        <v>3005</v>
      </c>
      <c r="AS30" s="62" t="s">
        <v>3006</v>
      </c>
      <c r="AT30" s="62" t="s">
        <v>3007</v>
      </c>
      <c r="AU30" s="62" t="s">
        <v>3008</v>
      </c>
      <c r="AV30" s="63"/>
    </row>
    <row r="31" spans="1:48">
      <c r="A31" s="75" t="s">
        <v>2560</v>
      </c>
      <c r="B31" s="76"/>
      <c r="C31" s="76"/>
      <c r="D31" s="76"/>
      <c r="E31" s="76"/>
      <c r="F31" s="76"/>
      <c r="G31" s="76"/>
      <c r="H31" s="76"/>
      <c r="I31" s="76"/>
      <c r="J31" s="76"/>
      <c r="K31" s="76"/>
      <c r="L31" s="76"/>
      <c r="M31" s="76"/>
      <c r="N31" s="76"/>
      <c r="O31" s="76"/>
      <c r="P31" s="76"/>
      <c r="Q31" s="76"/>
      <c r="R31" s="76"/>
      <c r="S31" s="76"/>
      <c r="T31" s="76"/>
      <c r="U31" s="76"/>
      <c r="V31" s="76"/>
      <c r="W31" s="76"/>
      <c r="X31" s="76"/>
      <c r="Y31" s="76"/>
      <c r="Z31" s="76"/>
      <c r="AA31" s="76"/>
      <c r="AB31" s="76"/>
      <c r="AC31" s="76"/>
      <c r="AD31" s="76"/>
      <c r="AE31" s="76"/>
      <c r="AF31" s="76"/>
      <c r="AG31" s="61"/>
      <c r="AH31" s="62" t="s">
        <v>3009</v>
      </c>
      <c r="AI31" s="62" t="s">
        <v>3010</v>
      </c>
      <c r="AJ31" s="62" t="s">
        <v>3011</v>
      </c>
      <c r="AK31" s="62" t="s">
        <v>3012</v>
      </c>
      <c r="AL31" s="62" t="s">
        <v>3013</v>
      </c>
      <c r="AM31" s="62" t="s">
        <v>3014</v>
      </c>
      <c r="AN31" s="62" t="s">
        <v>3015</v>
      </c>
      <c r="AO31" s="62" t="s">
        <v>3016</v>
      </c>
      <c r="AP31" s="62" t="s">
        <v>3017</v>
      </c>
      <c r="AQ31" s="62" t="s">
        <v>3018</v>
      </c>
      <c r="AR31" s="62" t="s">
        <v>3019</v>
      </c>
      <c r="AS31" s="62" t="s">
        <v>3020</v>
      </c>
      <c r="AT31" s="62" t="s">
        <v>3021</v>
      </c>
      <c r="AU31" s="62" t="s">
        <v>3022</v>
      </c>
      <c r="AV31" s="63" t="s">
        <v>3023</v>
      </c>
    </row>
    <row r="32" spans="1:48">
      <c r="A32" s="75" t="s">
        <v>2561</v>
      </c>
      <c r="B32" s="76"/>
      <c r="C32" s="76"/>
      <c r="D32" s="76"/>
      <c r="E32" s="76"/>
      <c r="F32" s="76"/>
      <c r="G32" s="76"/>
      <c r="H32" s="76"/>
      <c r="I32" s="76"/>
      <c r="J32" s="76"/>
      <c r="K32" s="76"/>
      <c r="L32" s="76"/>
      <c r="M32" s="76"/>
      <c r="N32" s="76"/>
      <c r="O32" s="76"/>
      <c r="P32" s="76"/>
      <c r="Q32" s="76"/>
      <c r="R32" s="76"/>
      <c r="S32" s="76"/>
      <c r="T32" s="76"/>
      <c r="U32" s="76"/>
      <c r="V32" s="76"/>
      <c r="W32" s="76"/>
      <c r="X32" s="76"/>
      <c r="Y32" s="76"/>
      <c r="Z32" s="76"/>
      <c r="AA32" s="76"/>
      <c r="AB32" s="76"/>
      <c r="AC32" s="76"/>
      <c r="AD32" s="76"/>
      <c r="AE32" s="76"/>
      <c r="AF32" s="76"/>
      <c r="AG32" s="61" t="s">
        <v>3024</v>
      </c>
      <c r="AH32" s="62" t="s">
        <v>3025</v>
      </c>
      <c r="AI32" s="62" t="s">
        <v>3026</v>
      </c>
      <c r="AJ32" s="62" t="s">
        <v>3027</v>
      </c>
      <c r="AK32" s="62" t="s">
        <v>3028</v>
      </c>
      <c r="AL32" s="62" t="s">
        <v>3029</v>
      </c>
      <c r="AM32" s="62" t="s">
        <v>3030</v>
      </c>
      <c r="AN32" s="62" t="s">
        <v>3031</v>
      </c>
      <c r="AO32" s="62" t="s">
        <v>3032</v>
      </c>
      <c r="AP32" s="62" t="s">
        <v>3033</v>
      </c>
      <c r="AQ32" s="62" t="s">
        <v>3034</v>
      </c>
      <c r="AR32" s="62" t="s">
        <v>3035</v>
      </c>
      <c r="AS32" s="62" t="s">
        <v>3036</v>
      </c>
      <c r="AT32" s="62" t="s">
        <v>3037</v>
      </c>
      <c r="AU32" s="62" t="s">
        <v>3038</v>
      </c>
      <c r="AV32" s="63" t="s">
        <v>3039</v>
      </c>
    </row>
    <row r="33" spans="1:48">
      <c r="A33" s="75" t="s">
        <v>2625</v>
      </c>
      <c r="B33" s="76"/>
      <c r="C33" s="76"/>
      <c r="D33" s="77" t="s">
        <v>3040</v>
      </c>
      <c r="E33" s="76"/>
      <c r="F33" s="76"/>
      <c r="G33" s="82" t="s">
        <v>3041</v>
      </c>
      <c r="H33" s="76"/>
      <c r="I33" s="76"/>
      <c r="J33" s="76"/>
      <c r="K33" s="76"/>
      <c r="L33" s="76"/>
      <c r="M33" s="76"/>
      <c r="N33" s="76"/>
      <c r="O33" s="76"/>
      <c r="P33" s="76"/>
      <c r="Q33" s="76"/>
      <c r="R33" s="76"/>
      <c r="S33" s="76"/>
      <c r="T33" s="76"/>
      <c r="U33" s="76"/>
      <c r="V33" s="76"/>
      <c r="W33" s="76"/>
      <c r="X33" s="76"/>
      <c r="Y33" s="76"/>
      <c r="Z33" s="76"/>
      <c r="AA33" s="76"/>
      <c r="AB33" s="76"/>
      <c r="AC33" s="76"/>
      <c r="AD33" s="76"/>
      <c r="AE33" s="76"/>
      <c r="AF33" s="76"/>
      <c r="AG33" s="66" t="s">
        <v>3042</v>
      </c>
      <c r="AH33" s="67" t="s">
        <v>3043</v>
      </c>
      <c r="AI33" s="67" t="s">
        <v>3044</v>
      </c>
      <c r="AJ33" s="67" t="s">
        <v>3045</v>
      </c>
      <c r="AK33" s="67" t="s">
        <v>3046</v>
      </c>
      <c r="AL33" s="67" t="s">
        <v>3047</v>
      </c>
      <c r="AM33" s="67" t="s">
        <v>3048</v>
      </c>
      <c r="AN33" s="67" t="s">
        <v>3049</v>
      </c>
      <c r="AO33" s="67" t="s">
        <v>3050</v>
      </c>
      <c r="AP33" s="67" t="s">
        <v>3051</v>
      </c>
      <c r="AQ33" s="67" t="s">
        <v>3052</v>
      </c>
      <c r="AR33" s="67" t="s">
        <v>3053</v>
      </c>
      <c r="AS33" s="67" t="s">
        <v>3054</v>
      </c>
      <c r="AT33" s="67" t="s">
        <v>3055</v>
      </c>
      <c r="AU33" s="67" t="s">
        <v>3056</v>
      </c>
      <c r="AV33" s="68" t="s">
        <v>3057</v>
      </c>
    </row>
    <row r="34" spans="1:48">
      <c r="A34" s="75" t="s">
        <v>2626</v>
      </c>
      <c r="B34" s="76"/>
      <c r="C34" s="76"/>
      <c r="D34" s="76"/>
      <c r="E34" s="76"/>
      <c r="F34" s="76"/>
      <c r="G34" s="76"/>
      <c r="H34" s="76"/>
      <c r="I34" s="76"/>
      <c r="J34" s="76"/>
      <c r="K34" s="76"/>
      <c r="L34" s="76"/>
      <c r="M34" s="76"/>
      <c r="N34" s="76"/>
      <c r="O34" s="76"/>
      <c r="P34" s="76"/>
      <c r="Q34" s="76"/>
      <c r="R34" s="76"/>
      <c r="S34" s="76"/>
      <c r="T34" s="76"/>
      <c r="U34" s="76"/>
      <c r="V34" s="76"/>
      <c r="W34" s="76"/>
      <c r="X34" s="76"/>
      <c r="Y34" s="76"/>
      <c r="Z34" s="76"/>
      <c r="AA34" s="76"/>
      <c r="AB34" s="76"/>
      <c r="AC34" s="76"/>
      <c r="AD34" s="76"/>
      <c r="AE34" s="76"/>
      <c r="AF34" s="76"/>
      <c r="AG34" s="58" t="s">
        <v>3058</v>
      </c>
      <c r="AH34" s="59" t="s">
        <v>3059</v>
      </c>
      <c r="AI34" s="59" t="s">
        <v>3060</v>
      </c>
      <c r="AJ34" s="59" t="s">
        <v>3061</v>
      </c>
      <c r="AK34" s="59" t="s">
        <v>3062</v>
      </c>
      <c r="AL34" s="59" t="s">
        <v>3063</v>
      </c>
      <c r="AM34" s="59" t="s">
        <v>3064</v>
      </c>
      <c r="AN34" s="59" t="s">
        <v>3065</v>
      </c>
      <c r="AO34" s="59" t="s">
        <v>3066</v>
      </c>
      <c r="AP34" s="59" t="s">
        <v>3067</v>
      </c>
      <c r="AQ34" s="59" t="s">
        <v>3068</v>
      </c>
      <c r="AR34" s="59" t="s">
        <v>3069</v>
      </c>
      <c r="AS34" s="59" t="s">
        <v>3070</v>
      </c>
      <c r="AT34" s="59" t="s">
        <v>3071</v>
      </c>
      <c r="AU34" s="59" t="s">
        <v>3072</v>
      </c>
      <c r="AV34" s="60" t="s">
        <v>3073</v>
      </c>
    </row>
    <row r="35" spans="1:48">
      <c r="A35" s="75" t="s">
        <v>2647</v>
      </c>
      <c r="B35" s="76"/>
      <c r="C35" s="76"/>
      <c r="D35" s="77" t="s">
        <v>3074</v>
      </c>
      <c r="E35" s="76"/>
      <c r="F35" s="76"/>
      <c r="G35" s="82" t="s">
        <v>3075</v>
      </c>
      <c r="H35" s="76"/>
      <c r="I35" s="76"/>
      <c r="J35" s="76"/>
      <c r="K35" s="76"/>
      <c r="L35" s="76"/>
      <c r="M35" s="76"/>
      <c r="N35" s="76"/>
      <c r="O35" s="76"/>
      <c r="P35" s="76"/>
      <c r="Q35" s="76"/>
      <c r="R35" s="76"/>
      <c r="S35" s="76"/>
      <c r="T35" s="76"/>
      <c r="U35" s="76"/>
      <c r="V35" s="76"/>
      <c r="W35" s="76"/>
      <c r="X35" s="76"/>
      <c r="Y35" s="76"/>
      <c r="Z35" s="76"/>
      <c r="AA35" s="76"/>
      <c r="AB35" s="76"/>
      <c r="AC35" s="76"/>
      <c r="AD35" s="76"/>
      <c r="AE35" s="76"/>
      <c r="AF35" s="76"/>
      <c r="AG35" s="61" t="s">
        <v>3076</v>
      </c>
      <c r="AH35" s="62" t="s">
        <v>3077</v>
      </c>
      <c r="AI35" s="62" t="s">
        <v>3078</v>
      </c>
      <c r="AJ35" s="62" t="s">
        <v>3079</v>
      </c>
      <c r="AK35" s="62" t="s">
        <v>3080</v>
      </c>
      <c r="AL35" s="62" t="s">
        <v>3081</v>
      </c>
      <c r="AM35" s="62" t="s">
        <v>3082</v>
      </c>
      <c r="AN35" s="62" t="s">
        <v>3083</v>
      </c>
      <c r="AO35" s="62" t="s">
        <v>3084</v>
      </c>
      <c r="AP35" s="62" t="s">
        <v>3085</v>
      </c>
      <c r="AQ35" s="62" t="s">
        <v>3086</v>
      </c>
      <c r="AR35" s="62" t="s">
        <v>3087</v>
      </c>
      <c r="AS35" s="62" t="s">
        <v>3088</v>
      </c>
      <c r="AT35" s="62" t="s">
        <v>3089</v>
      </c>
      <c r="AU35" s="62" t="s">
        <v>3090</v>
      </c>
      <c r="AV35" s="63" t="s">
        <v>3091</v>
      </c>
    </row>
    <row r="36" spans="1:48">
      <c r="A36" s="75" t="s">
        <v>2648</v>
      </c>
      <c r="B36" s="76"/>
      <c r="C36" s="76"/>
      <c r="D36" s="76"/>
      <c r="E36" s="76"/>
      <c r="F36" s="76"/>
      <c r="G36" s="76"/>
      <c r="H36" s="76"/>
      <c r="I36" s="76"/>
      <c r="J36" s="76"/>
      <c r="K36" s="76"/>
      <c r="L36" s="76"/>
      <c r="M36" s="76"/>
      <c r="N36" s="76"/>
      <c r="O36" s="76"/>
      <c r="P36" s="76"/>
      <c r="Q36" s="76"/>
      <c r="R36" s="76"/>
      <c r="S36" s="76"/>
      <c r="T36" s="76"/>
      <c r="U36" s="76"/>
      <c r="V36" s="76"/>
      <c r="W36" s="76"/>
      <c r="X36" s="76"/>
      <c r="Y36" s="76"/>
      <c r="Z36" s="76"/>
      <c r="AA36" s="76"/>
      <c r="AB36" s="76"/>
      <c r="AC36" s="76"/>
      <c r="AD36" s="76"/>
      <c r="AE36" s="76"/>
      <c r="AF36" s="76"/>
      <c r="AG36" s="61" t="s">
        <v>3092</v>
      </c>
      <c r="AH36" s="62" t="s">
        <v>3093</v>
      </c>
      <c r="AI36" s="62" t="s">
        <v>3094</v>
      </c>
      <c r="AJ36" s="62" t="s">
        <v>3095</v>
      </c>
      <c r="AK36" s="62" t="s">
        <v>3096</v>
      </c>
      <c r="AL36" s="62" t="s">
        <v>3097</v>
      </c>
      <c r="AM36" s="62" t="s">
        <v>3098</v>
      </c>
      <c r="AN36" s="62" t="s">
        <v>3099</v>
      </c>
      <c r="AO36" s="62" t="s">
        <v>3100</v>
      </c>
      <c r="AP36" s="62" t="s">
        <v>3101</v>
      </c>
      <c r="AQ36" s="62" t="s">
        <v>3102</v>
      </c>
      <c r="AR36" s="62" t="s">
        <v>3103</v>
      </c>
      <c r="AS36" s="62" t="s">
        <v>3104</v>
      </c>
      <c r="AT36" s="62" t="s">
        <v>3105</v>
      </c>
      <c r="AU36" s="62" t="s">
        <v>3106</v>
      </c>
      <c r="AV36" s="63"/>
    </row>
    <row r="37" spans="1:48">
      <c r="A37" s="75" t="s">
        <v>2646</v>
      </c>
      <c r="B37" s="76"/>
      <c r="C37" s="76"/>
      <c r="D37" s="76"/>
      <c r="E37" s="76"/>
      <c r="F37" s="76"/>
      <c r="G37" s="76"/>
      <c r="H37" s="76"/>
      <c r="I37" s="76"/>
      <c r="J37" s="76"/>
      <c r="K37" s="76"/>
      <c r="L37" s="76"/>
      <c r="M37" s="76"/>
      <c r="N37" s="76"/>
      <c r="O37" s="76"/>
      <c r="P37" s="76"/>
      <c r="Q37" s="76"/>
      <c r="R37" s="76"/>
      <c r="S37" s="76"/>
      <c r="T37" s="76"/>
      <c r="U37" s="76"/>
      <c r="V37" s="76"/>
      <c r="W37" s="76"/>
      <c r="X37" s="76"/>
      <c r="Y37" s="76"/>
      <c r="Z37" s="76"/>
      <c r="AA37" s="76"/>
      <c r="AB37" s="76"/>
      <c r="AC37" s="76"/>
      <c r="AD37" s="76"/>
      <c r="AE37" s="76"/>
      <c r="AF37" s="76"/>
      <c r="AG37" s="61"/>
      <c r="AH37" s="62" t="s">
        <v>3107</v>
      </c>
      <c r="AI37" s="62" t="s">
        <v>3108</v>
      </c>
      <c r="AJ37" s="62" t="s">
        <v>3109</v>
      </c>
      <c r="AK37" s="62" t="s">
        <v>3110</v>
      </c>
      <c r="AL37" s="62" t="s">
        <v>3111</v>
      </c>
      <c r="AM37" s="62" t="s">
        <v>3112</v>
      </c>
      <c r="AN37" s="62" t="s">
        <v>3113</v>
      </c>
      <c r="AO37" s="62" t="s">
        <v>3114</v>
      </c>
      <c r="AP37" s="62" t="s">
        <v>3115</v>
      </c>
      <c r="AQ37" s="62" t="s">
        <v>3116</v>
      </c>
      <c r="AR37" s="62" t="s">
        <v>3117</v>
      </c>
      <c r="AS37" s="62" t="s">
        <v>3118</v>
      </c>
      <c r="AT37" s="62" t="s">
        <v>3119</v>
      </c>
      <c r="AU37" s="62" t="s">
        <v>3120</v>
      </c>
      <c r="AV37" s="63" t="s">
        <v>3121</v>
      </c>
    </row>
    <row r="38" spans="1:48">
      <c r="A38" s="75" t="s">
        <v>2649</v>
      </c>
      <c r="B38" s="76"/>
      <c r="C38" s="76"/>
      <c r="D38" s="76"/>
      <c r="E38" s="76"/>
      <c r="F38" s="76"/>
      <c r="G38" s="76"/>
      <c r="H38" s="76"/>
      <c r="I38" s="76"/>
      <c r="J38" s="76"/>
      <c r="K38" s="76"/>
      <c r="L38" s="76"/>
      <c r="M38" s="76"/>
      <c r="N38" s="76"/>
      <c r="O38" s="76"/>
      <c r="P38" s="76"/>
      <c r="Q38" s="76"/>
      <c r="R38" s="76"/>
      <c r="S38" s="76"/>
      <c r="T38" s="76"/>
      <c r="U38" s="76"/>
      <c r="V38" s="76"/>
      <c r="W38" s="76"/>
      <c r="X38" s="76"/>
      <c r="Y38" s="76"/>
      <c r="Z38" s="76"/>
      <c r="AA38" s="76"/>
      <c r="AB38" s="76"/>
      <c r="AC38" s="76"/>
      <c r="AD38" s="76"/>
      <c r="AE38" s="76"/>
      <c r="AF38" s="76"/>
      <c r="AG38" s="61" t="s">
        <v>3122</v>
      </c>
      <c r="AH38" s="62" t="s">
        <v>3123</v>
      </c>
      <c r="AI38" s="62" t="s">
        <v>3124</v>
      </c>
      <c r="AJ38" s="62" t="s">
        <v>3125</v>
      </c>
      <c r="AK38" s="62" t="s">
        <v>3126</v>
      </c>
      <c r="AL38" s="62" t="s">
        <v>3127</v>
      </c>
      <c r="AM38" s="62" t="s">
        <v>3128</v>
      </c>
      <c r="AN38" s="62" t="s">
        <v>3129</v>
      </c>
      <c r="AO38" s="62" t="s">
        <v>3130</v>
      </c>
      <c r="AP38" s="62" t="s">
        <v>3131</v>
      </c>
      <c r="AQ38" s="62" t="s">
        <v>3132</v>
      </c>
      <c r="AR38" s="62" t="s">
        <v>3133</v>
      </c>
      <c r="AS38" s="62" t="s">
        <v>3134</v>
      </c>
      <c r="AT38" s="62" t="s">
        <v>3135</v>
      </c>
      <c r="AU38" s="62" t="s">
        <v>3136</v>
      </c>
      <c r="AV38" s="63" t="s">
        <v>3137</v>
      </c>
    </row>
    <row r="39" spans="1:48">
      <c r="A39" s="75" t="s">
        <v>3138</v>
      </c>
      <c r="B39" s="76"/>
      <c r="C39" s="76"/>
      <c r="D39" s="77" t="s">
        <v>3139</v>
      </c>
      <c r="E39" s="76"/>
      <c r="F39" s="76"/>
      <c r="G39" s="82" t="s">
        <v>3140</v>
      </c>
      <c r="H39" s="76"/>
      <c r="I39" s="76"/>
      <c r="J39" s="76"/>
      <c r="K39" s="76"/>
      <c r="L39" s="76"/>
      <c r="M39" s="76"/>
      <c r="N39" s="76"/>
      <c r="O39" s="76"/>
      <c r="P39" s="76"/>
      <c r="Q39" s="76"/>
      <c r="R39" s="76"/>
      <c r="S39" s="76"/>
      <c r="T39" s="76"/>
      <c r="U39" s="76"/>
      <c r="V39" s="76"/>
      <c r="W39" s="76"/>
      <c r="X39" s="76"/>
      <c r="Y39" s="76"/>
      <c r="Z39" s="76"/>
      <c r="AA39" s="76"/>
      <c r="AB39" s="76"/>
      <c r="AC39" s="76"/>
      <c r="AD39" s="76"/>
      <c r="AE39" s="76"/>
      <c r="AF39" s="76"/>
      <c r="AG39" s="61"/>
      <c r="AH39" s="62"/>
      <c r="AI39" s="62"/>
      <c r="AJ39" s="62"/>
      <c r="AK39" s="62"/>
      <c r="AL39" s="62"/>
      <c r="AM39" s="62"/>
      <c r="AN39" s="62"/>
      <c r="AO39" s="62"/>
      <c r="AP39" s="62"/>
      <c r="AQ39" s="62"/>
      <c r="AR39" s="62"/>
      <c r="AS39" s="62"/>
      <c r="AT39" s="62"/>
      <c r="AU39" s="62"/>
      <c r="AV39" s="63"/>
    </row>
    <row r="40" spans="1:48">
      <c r="A40" s="75" t="s">
        <v>3141</v>
      </c>
      <c r="B40" s="76"/>
      <c r="C40" s="76"/>
      <c r="D40" s="77" t="s">
        <v>3142</v>
      </c>
      <c r="E40" s="76"/>
      <c r="F40" s="76"/>
      <c r="G40" s="76"/>
      <c r="H40" s="76"/>
      <c r="I40" s="76"/>
      <c r="J40" s="76"/>
      <c r="K40" s="76"/>
      <c r="L40" s="76"/>
      <c r="M40" s="76"/>
      <c r="N40" s="76"/>
      <c r="O40" s="76"/>
      <c r="P40" s="76"/>
      <c r="Q40" s="76"/>
      <c r="R40" s="76"/>
      <c r="S40" s="76"/>
      <c r="T40" s="76"/>
      <c r="U40" s="76"/>
      <c r="V40" s="76"/>
      <c r="W40" s="76"/>
      <c r="X40" s="76"/>
      <c r="Y40" s="76"/>
      <c r="Z40" s="76"/>
      <c r="AA40" s="76"/>
      <c r="AB40" s="76"/>
      <c r="AC40" s="76"/>
      <c r="AD40" s="76"/>
      <c r="AE40" s="76"/>
      <c r="AF40" s="76"/>
      <c r="AG40" s="61" t="s">
        <v>3143</v>
      </c>
      <c r="AH40" s="62" t="s">
        <v>3144</v>
      </c>
      <c r="AI40" s="62" t="s">
        <v>3145</v>
      </c>
      <c r="AJ40" s="62" t="s">
        <v>3146</v>
      </c>
      <c r="AK40" s="62" t="s">
        <v>3147</v>
      </c>
      <c r="AL40" s="62" t="s">
        <v>3148</v>
      </c>
      <c r="AM40" s="62" t="s">
        <v>3149</v>
      </c>
      <c r="AN40" s="62" t="s">
        <v>3150</v>
      </c>
      <c r="AO40" s="62" t="s">
        <v>3151</v>
      </c>
      <c r="AP40" s="62" t="s">
        <v>3152</v>
      </c>
      <c r="AQ40" s="62" t="s">
        <v>3153</v>
      </c>
      <c r="AR40" s="62" t="s">
        <v>3154</v>
      </c>
      <c r="AS40" s="62" t="s">
        <v>3155</v>
      </c>
      <c r="AT40" s="62" t="s">
        <v>3156</v>
      </c>
      <c r="AU40" s="62" t="s">
        <v>3157</v>
      </c>
      <c r="AV40" s="63" t="s">
        <v>3158</v>
      </c>
    </row>
    <row r="41" spans="1:48">
      <c r="A41" s="77" t="s">
        <v>2796</v>
      </c>
      <c r="B41" s="76"/>
      <c r="C41" s="76"/>
      <c r="D41" s="77" t="s">
        <v>3159</v>
      </c>
      <c r="E41" s="76"/>
      <c r="F41" s="76"/>
      <c r="G41" s="81" t="s">
        <v>3160</v>
      </c>
      <c r="H41" s="76"/>
      <c r="I41" s="76"/>
      <c r="J41" s="76"/>
      <c r="K41" s="76"/>
      <c r="L41" s="76"/>
      <c r="M41" s="76"/>
      <c r="N41" s="76"/>
      <c r="O41" s="76"/>
      <c r="P41" s="76"/>
      <c r="Q41" s="76"/>
      <c r="R41" s="76"/>
      <c r="S41" s="76"/>
      <c r="T41" s="76"/>
      <c r="U41" s="76"/>
      <c r="V41" s="76"/>
      <c r="W41" s="76"/>
      <c r="X41" s="76"/>
      <c r="Y41" s="76"/>
      <c r="Z41" s="76"/>
      <c r="AA41" s="76"/>
      <c r="AB41" s="76"/>
      <c r="AC41" s="76"/>
      <c r="AD41" s="76"/>
      <c r="AE41" s="76"/>
      <c r="AF41" s="76"/>
      <c r="AG41" s="61" t="s">
        <v>3161</v>
      </c>
      <c r="AH41" s="62" t="s">
        <v>3162</v>
      </c>
      <c r="AI41" s="62" t="s">
        <v>3163</v>
      </c>
      <c r="AJ41" s="62" t="s">
        <v>3164</v>
      </c>
      <c r="AK41" s="62" t="s">
        <v>3165</v>
      </c>
      <c r="AL41" s="62" t="s">
        <v>3166</v>
      </c>
      <c r="AM41" s="62" t="s">
        <v>3167</v>
      </c>
      <c r="AN41" s="62" t="s">
        <v>3168</v>
      </c>
      <c r="AO41" s="62" t="s">
        <v>3169</v>
      </c>
      <c r="AP41" s="62" t="s">
        <v>3170</v>
      </c>
      <c r="AQ41" s="62" t="s">
        <v>3171</v>
      </c>
      <c r="AR41" s="62" t="s">
        <v>3172</v>
      </c>
      <c r="AS41" s="62" t="s">
        <v>3173</v>
      </c>
      <c r="AT41" s="62" t="s">
        <v>3174</v>
      </c>
      <c r="AU41" s="62" t="s">
        <v>3175</v>
      </c>
      <c r="AV41" s="63" t="s">
        <v>3176</v>
      </c>
    </row>
    <row r="42" spans="1:48">
      <c r="A42" s="64"/>
      <c r="B42" s="64"/>
      <c r="C42" s="64"/>
      <c r="D42" s="64"/>
      <c r="E42" s="64"/>
      <c r="F42" s="64"/>
      <c r="G42" s="65"/>
      <c r="H42" s="65"/>
      <c r="I42" s="65"/>
      <c r="J42" s="65"/>
      <c r="K42" s="65"/>
      <c r="L42" s="65"/>
      <c r="M42" s="65"/>
      <c r="N42" s="65"/>
      <c r="O42" s="65"/>
      <c r="P42" s="65"/>
      <c r="Q42" s="65"/>
      <c r="R42" s="65"/>
      <c r="S42" s="65"/>
      <c r="T42" s="65"/>
      <c r="U42" s="65"/>
      <c r="V42" s="65"/>
      <c r="W42" s="65"/>
      <c r="X42" s="65"/>
      <c r="Y42" s="65"/>
      <c r="Z42" s="65"/>
      <c r="AA42" s="65"/>
      <c r="AB42" s="65"/>
      <c r="AC42" s="65"/>
      <c r="AD42" s="65"/>
      <c r="AE42" s="65"/>
      <c r="AF42" s="65"/>
      <c r="AG42" s="61" t="s">
        <v>3177</v>
      </c>
      <c r="AH42" s="62" t="s">
        <v>3178</v>
      </c>
      <c r="AI42" s="62" t="s">
        <v>3179</v>
      </c>
      <c r="AJ42" s="62" t="s">
        <v>3180</v>
      </c>
      <c r="AK42" s="62" t="s">
        <v>3181</v>
      </c>
      <c r="AL42" s="62" t="s">
        <v>3182</v>
      </c>
      <c r="AM42" s="62" t="s">
        <v>3183</v>
      </c>
      <c r="AN42" s="62" t="s">
        <v>3184</v>
      </c>
      <c r="AO42" s="62" t="s">
        <v>3185</v>
      </c>
      <c r="AP42" s="62" t="s">
        <v>3186</v>
      </c>
      <c r="AQ42" s="62" t="s">
        <v>3187</v>
      </c>
      <c r="AR42" s="62" t="s">
        <v>3188</v>
      </c>
      <c r="AS42" s="62" t="s">
        <v>3189</v>
      </c>
      <c r="AT42" s="62" t="s">
        <v>3190</v>
      </c>
      <c r="AU42" s="62" t="s">
        <v>3191</v>
      </c>
      <c r="AV42" s="63" t="s">
        <v>3192</v>
      </c>
    </row>
    <row r="43" spans="1:48">
      <c r="A43" s="64"/>
      <c r="B43" s="64"/>
      <c r="C43" s="64"/>
      <c r="D43" s="64"/>
      <c r="E43" s="64"/>
      <c r="F43" s="64"/>
      <c r="G43" s="65"/>
      <c r="H43" s="65"/>
      <c r="I43" s="65"/>
      <c r="J43" s="65"/>
      <c r="K43" s="65"/>
      <c r="L43" s="65"/>
      <c r="M43" s="65"/>
      <c r="N43" s="65"/>
      <c r="O43" s="65"/>
      <c r="P43" s="65"/>
      <c r="Q43" s="65"/>
      <c r="R43" s="65"/>
      <c r="S43" s="65"/>
      <c r="T43" s="65"/>
      <c r="U43" s="65"/>
      <c r="V43" s="65"/>
      <c r="W43" s="65"/>
      <c r="X43" s="65"/>
      <c r="Y43" s="65"/>
      <c r="Z43" s="65"/>
      <c r="AA43" s="65"/>
      <c r="AB43" s="65"/>
      <c r="AC43" s="65"/>
      <c r="AD43" s="65"/>
      <c r="AE43" s="65"/>
      <c r="AF43" s="65"/>
      <c r="AG43" s="61" t="s">
        <v>3193</v>
      </c>
      <c r="AH43" s="62" t="s">
        <v>3194</v>
      </c>
      <c r="AI43" s="62" t="s">
        <v>3195</v>
      </c>
      <c r="AJ43" s="62" t="s">
        <v>3196</v>
      </c>
      <c r="AK43" s="62" t="s">
        <v>3197</v>
      </c>
      <c r="AL43" s="62" t="s">
        <v>3198</v>
      </c>
      <c r="AM43" s="62" t="s">
        <v>3199</v>
      </c>
      <c r="AN43" s="62" t="s">
        <v>3200</v>
      </c>
      <c r="AO43" s="62" t="s">
        <v>3201</v>
      </c>
      <c r="AP43" s="62" t="s">
        <v>3202</v>
      </c>
      <c r="AQ43" s="62" t="s">
        <v>3203</v>
      </c>
      <c r="AR43" s="62" t="s">
        <v>3204</v>
      </c>
      <c r="AS43" s="62" t="s">
        <v>3205</v>
      </c>
      <c r="AT43" s="62" t="s">
        <v>3206</v>
      </c>
      <c r="AU43" s="62" t="s">
        <v>3207</v>
      </c>
      <c r="AV43" s="63"/>
    </row>
    <row r="44" spans="1:48">
      <c r="A44" s="64"/>
      <c r="B44" s="64"/>
      <c r="C44" s="64"/>
      <c r="D44" s="64"/>
      <c r="E44" s="64"/>
      <c r="F44" s="64"/>
      <c r="G44" s="65"/>
      <c r="H44" s="65"/>
      <c r="I44" s="65"/>
      <c r="J44" s="65"/>
      <c r="K44" s="65"/>
      <c r="L44" s="65"/>
      <c r="M44" s="65"/>
      <c r="N44" s="65"/>
      <c r="O44" s="65"/>
      <c r="P44" s="65"/>
      <c r="Q44" s="65"/>
      <c r="R44" s="65"/>
      <c r="S44" s="65"/>
      <c r="T44" s="65"/>
      <c r="U44" s="65"/>
      <c r="V44" s="65"/>
      <c r="W44" s="65"/>
      <c r="X44" s="65"/>
      <c r="Y44" s="65"/>
      <c r="Z44" s="65"/>
      <c r="AA44" s="65"/>
      <c r="AB44" s="65"/>
      <c r="AC44" s="65"/>
      <c r="AD44" s="65"/>
      <c r="AE44" s="65"/>
      <c r="AF44" s="65"/>
      <c r="AG44" s="61"/>
      <c r="AH44" s="62" t="s">
        <v>3208</v>
      </c>
      <c r="AI44" s="62" t="s">
        <v>3209</v>
      </c>
      <c r="AJ44" s="62" t="s">
        <v>3210</v>
      </c>
      <c r="AK44" s="62" t="s">
        <v>3211</v>
      </c>
      <c r="AL44" s="62" t="s">
        <v>3212</v>
      </c>
      <c r="AM44" s="62" t="s">
        <v>3213</v>
      </c>
      <c r="AN44" s="62" t="s">
        <v>3214</v>
      </c>
      <c r="AO44" s="62" t="s">
        <v>3215</v>
      </c>
      <c r="AP44" s="62" t="s">
        <v>3216</v>
      </c>
      <c r="AQ44" s="62" t="s">
        <v>3217</v>
      </c>
      <c r="AR44" s="62" t="s">
        <v>3218</v>
      </c>
      <c r="AS44" s="62" t="s">
        <v>3219</v>
      </c>
      <c r="AT44" s="62" t="s">
        <v>3220</v>
      </c>
      <c r="AU44" s="62" t="s">
        <v>3221</v>
      </c>
      <c r="AV44" s="63" t="s">
        <v>3222</v>
      </c>
    </row>
    <row r="45" spans="1:48">
      <c r="A45" s="64"/>
      <c r="B45" s="64"/>
      <c r="C45" s="64"/>
      <c r="D45" s="64"/>
      <c r="E45" s="64"/>
      <c r="F45" s="64"/>
      <c r="G45" s="65"/>
      <c r="H45" s="65"/>
      <c r="I45" s="65"/>
      <c r="J45" s="65"/>
      <c r="K45" s="65"/>
      <c r="L45" s="65"/>
      <c r="M45" s="65"/>
      <c r="N45" s="65"/>
      <c r="O45" s="65"/>
      <c r="P45" s="65"/>
      <c r="Q45" s="65"/>
      <c r="R45" s="65"/>
      <c r="S45" s="65"/>
      <c r="T45" s="65"/>
      <c r="U45" s="65"/>
      <c r="V45" s="65"/>
      <c r="W45" s="65"/>
      <c r="X45" s="65"/>
      <c r="Y45" s="65"/>
      <c r="Z45" s="65"/>
      <c r="AA45" s="65"/>
      <c r="AB45" s="65"/>
      <c r="AC45" s="65"/>
      <c r="AD45" s="65"/>
      <c r="AE45" s="65"/>
      <c r="AF45" s="65"/>
      <c r="AG45" s="61" t="s">
        <v>3223</v>
      </c>
      <c r="AH45" s="62" t="s">
        <v>3224</v>
      </c>
      <c r="AI45" s="62" t="s">
        <v>3225</v>
      </c>
      <c r="AJ45" s="62" t="s">
        <v>3226</v>
      </c>
      <c r="AK45" s="62" t="s">
        <v>3227</v>
      </c>
      <c r="AL45" s="62" t="s">
        <v>3228</v>
      </c>
      <c r="AM45" s="62" t="s">
        <v>3229</v>
      </c>
      <c r="AN45" s="62" t="s">
        <v>3230</v>
      </c>
      <c r="AO45" s="62" t="s">
        <v>3231</v>
      </c>
      <c r="AP45" s="62" t="s">
        <v>3232</v>
      </c>
      <c r="AQ45" s="62" t="s">
        <v>3233</v>
      </c>
      <c r="AR45" s="62" t="s">
        <v>3234</v>
      </c>
      <c r="AS45" s="62" t="s">
        <v>3235</v>
      </c>
      <c r="AT45" s="62" t="s">
        <v>3236</v>
      </c>
      <c r="AU45" s="62" t="s">
        <v>3237</v>
      </c>
      <c r="AV45" s="63" t="s">
        <v>3238</v>
      </c>
    </row>
    <row r="46" spans="1:48">
      <c r="A46" s="64"/>
      <c r="B46" s="64"/>
      <c r="C46" s="64"/>
      <c r="D46" s="64"/>
      <c r="E46" s="64"/>
      <c r="F46" s="64"/>
      <c r="G46" s="65"/>
      <c r="H46" s="65"/>
      <c r="I46" s="65"/>
      <c r="J46" s="65"/>
      <c r="K46" s="65"/>
      <c r="L46" s="65"/>
      <c r="M46" s="65"/>
      <c r="N46" s="65"/>
      <c r="O46" s="65"/>
      <c r="P46" s="65"/>
      <c r="Q46" s="65"/>
      <c r="R46" s="65"/>
      <c r="S46" s="65"/>
      <c r="T46" s="65"/>
      <c r="U46" s="65"/>
      <c r="V46" s="65"/>
      <c r="W46" s="65"/>
      <c r="X46" s="65"/>
      <c r="Y46" s="65"/>
      <c r="Z46" s="65"/>
      <c r="AA46" s="65"/>
      <c r="AB46" s="65"/>
      <c r="AC46" s="65"/>
      <c r="AD46" s="65"/>
      <c r="AE46" s="65"/>
      <c r="AF46" s="65"/>
      <c r="AG46" s="61" t="s">
        <v>3239</v>
      </c>
      <c r="AH46" s="62" t="s">
        <v>3240</v>
      </c>
      <c r="AI46" s="62" t="s">
        <v>3241</v>
      </c>
      <c r="AJ46" s="62" t="s">
        <v>3242</v>
      </c>
      <c r="AK46" s="62" t="s">
        <v>3243</v>
      </c>
      <c r="AL46" s="62" t="s">
        <v>3244</v>
      </c>
      <c r="AM46" s="62" t="s">
        <v>3245</v>
      </c>
      <c r="AN46" s="62" t="s">
        <v>3246</v>
      </c>
      <c r="AO46" s="62" t="s">
        <v>3247</v>
      </c>
      <c r="AP46" s="62" t="s">
        <v>3248</v>
      </c>
      <c r="AQ46" s="62" t="s">
        <v>3249</v>
      </c>
      <c r="AR46" s="62" t="s">
        <v>3250</v>
      </c>
      <c r="AS46" s="62" t="s">
        <v>3251</v>
      </c>
      <c r="AT46" s="62" t="s">
        <v>3252</v>
      </c>
      <c r="AU46" s="62" t="s">
        <v>3253</v>
      </c>
      <c r="AV46" s="63" t="s">
        <v>3254</v>
      </c>
    </row>
    <row r="47" spans="1:48">
      <c r="A47" s="64"/>
      <c r="B47" s="64"/>
      <c r="C47" s="64"/>
      <c r="D47" s="64"/>
      <c r="E47" s="64"/>
      <c r="F47" s="64"/>
      <c r="G47" s="65"/>
      <c r="H47" s="65"/>
      <c r="I47" s="65"/>
      <c r="J47" s="65"/>
      <c r="K47" s="65"/>
      <c r="L47" s="65"/>
      <c r="M47" s="65"/>
      <c r="N47" s="65"/>
      <c r="O47" s="65"/>
      <c r="P47" s="65"/>
      <c r="Q47" s="65"/>
      <c r="R47" s="65"/>
      <c r="S47" s="65"/>
      <c r="T47" s="65"/>
      <c r="U47" s="65"/>
      <c r="V47" s="65"/>
      <c r="W47" s="65"/>
      <c r="X47" s="65"/>
      <c r="Y47" s="65"/>
      <c r="Z47" s="65"/>
      <c r="AA47" s="65"/>
      <c r="AB47" s="65"/>
      <c r="AC47" s="65"/>
      <c r="AD47" s="65"/>
      <c r="AE47" s="65"/>
      <c r="AF47" s="65"/>
      <c r="AG47" s="61" t="s">
        <v>3255</v>
      </c>
      <c r="AH47" s="62" t="s">
        <v>3256</v>
      </c>
      <c r="AI47" s="62" t="s">
        <v>3257</v>
      </c>
      <c r="AJ47" s="62" t="s">
        <v>3258</v>
      </c>
      <c r="AK47" s="62" t="s">
        <v>3259</v>
      </c>
      <c r="AL47" s="62" t="s">
        <v>3260</v>
      </c>
      <c r="AM47" s="62" t="s">
        <v>3261</v>
      </c>
      <c r="AN47" s="62" t="s">
        <v>3262</v>
      </c>
      <c r="AO47" s="62" t="s">
        <v>3263</v>
      </c>
      <c r="AP47" s="62" t="s">
        <v>3264</v>
      </c>
      <c r="AQ47" s="62" t="s">
        <v>3265</v>
      </c>
      <c r="AR47" s="62" t="s">
        <v>3266</v>
      </c>
      <c r="AS47" s="62" t="s">
        <v>3267</v>
      </c>
      <c r="AT47" s="62" t="s">
        <v>3268</v>
      </c>
      <c r="AU47" s="62" t="s">
        <v>3269</v>
      </c>
      <c r="AV47" s="63" t="s">
        <v>3270</v>
      </c>
    </row>
    <row r="48" spans="1:48">
      <c r="A48" s="64"/>
      <c r="B48" s="64"/>
      <c r="C48" s="64"/>
      <c r="D48" s="64"/>
      <c r="E48" s="64"/>
      <c r="F48" s="64"/>
      <c r="G48" s="65"/>
      <c r="H48" s="65"/>
      <c r="I48" s="65"/>
      <c r="J48" s="65"/>
      <c r="K48" s="65"/>
      <c r="L48" s="65"/>
      <c r="M48" s="65"/>
      <c r="N48" s="65"/>
      <c r="O48" s="65"/>
      <c r="P48" s="65"/>
      <c r="Q48" s="65"/>
      <c r="R48" s="65"/>
      <c r="S48" s="65"/>
      <c r="T48" s="65"/>
      <c r="U48" s="65"/>
      <c r="V48" s="65"/>
      <c r="W48" s="65"/>
      <c r="X48" s="65"/>
      <c r="Y48" s="65"/>
      <c r="Z48" s="65"/>
      <c r="AA48" s="65"/>
      <c r="AB48" s="65"/>
      <c r="AC48" s="65"/>
      <c r="AD48" s="65"/>
      <c r="AE48" s="65"/>
      <c r="AF48" s="65"/>
      <c r="AG48" s="61" t="s">
        <v>3271</v>
      </c>
      <c r="AH48" s="62" t="s">
        <v>3272</v>
      </c>
      <c r="AI48" s="62" t="s">
        <v>3273</v>
      </c>
      <c r="AJ48" s="62" t="s">
        <v>3274</v>
      </c>
      <c r="AK48" s="62" t="s">
        <v>3275</v>
      </c>
      <c r="AL48" s="62" t="s">
        <v>3276</v>
      </c>
      <c r="AM48" s="62" t="s">
        <v>3277</v>
      </c>
      <c r="AN48" s="62" t="s">
        <v>3278</v>
      </c>
      <c r="AO48" s="62" t="s">
        <v>3279</v>
      </c>
      <c r="AP48" s="62" t="s">
        <v>3280</v>
      </c>
      <c r="AQ48" s="62" t="s">
        <v>3281</v>
      </c>
      <c r="AR48" s="62" t="s">
        <v>3282</v>
      </c>
      <c r="AS48" s="62" t="s">
        <v>3283</v>
      </c>
      <c r="AT48" s="62" t="s">
        <v>3284</v>
      </c>
      <c r="AU48" s="62" t="s">
        <v>3285</v>
      </c>
      <c r="AV48" s="63" t="s">
        <v>3286</v>
      </c>
    </row>
    <row r="49" spans="1:48">
      <c r="A49" s="64"/>
      <c r="B49" s="64"/>
      <c r="C49" s="64"/>
      <c r="D49" s="64"/>
      <c r="E49" s="64"/>
      <c r="F49" s="64"/>
      <c r="G49" s="65"/>
      <c r="H49" s="65"/>
      <c r="I49" s="65"/>
      <c r="J49" s="65"/>
      <c r="K49" s="65"/>
      <c r="L49" s="65"/>
      <c r="M49" s="65"/>
      <c r="N49" s="65"/>
      <c r="O49" s="65"/>
      <c r="P49" s="65"/>
      <c r="Q49" s="65"/>
      <c r="R49" s="65"/>
      <c r="S49" s="65"/>
      <c r="T49" s="65"/>
      <c r="U49" s="65"/>
      <c r="V49" s="65"/>
      <c r="W49" s="65"/>
      <c r="X49" s="65"/>
      <c r="Y49" s="65"/>
      <c r="Z49" s="65"/>
      <c r="AA49" s="65"/>
      <c r="AB49" s="65"/>
      <c r="AC49" s="65"/>
      <c r="AD49" s="65"/>
      <c r="AE49" s="65"/>
      <c r="AF49" s="65"/>
      <c r="AG49" s="66" t="s">
        <v>3287</v>
      </c>
      <c r="AH49" s="67" t="s">
        <v>3288</v>
      </c>
      <c r="AI49" s="67" t="s">
        <v>3289</v>
      </c>
      <c r="AJ49" s="67" t="s">
        <v>3290</v>
      </c>
      <c r="AK49" s="67"/>
      <c r="AL49" s="67" t="s">
        <v>3291</v>
      </c>
      <c r="AM49" s="67" t="s">
        <v>3292</v>
      </c>
      <c r="AN49" s="67" t="s">
        <v>3293</v>
      </c>
      <c r="AO49" s="67" t="s">
        <v>3294</v>
      </c>
      <c r="AP49" s="67" t="s">
        <v>3295</v>
      </c>
      <c r="AQ49" s="67" t="s">
        <v>3296</v>
      </c>
      <c r="AR49" s="67" t="s">
        <v>3297</v>
      </c>
      <c r="AS49" s="67" t="s">
        <v>3298</v>
      </c>
      <c r="AT49" s="67" t="s">
        <v>3299</v>
      </c>
      <c r="AU49" s="67" t="s">
        <v>3300</v>
      </c>
      <c r="AV49" s="68"/>
    </row>
    <row r="50" spans="1:48">
      <c r="A50" s="64"/>
      <c r="B50" s="64"/>
      <c r="C50" s="64"/>
      <c r="D50" s="64"/>
      <c r="E50" s="64"/>
      <c r="F50" s="64"/>
      <c r="G50" s="65"/>
      <c r="H50" s="65"/>
      <c r="I50" s="65"/>
      <c r="J50" s="65"/>
      <c r="K50" s="65"/>
      <c r="L50" s="65"/>
      <c r="M50" s="65"/>
      <c r="N50" s="65"/>
      <c r="O50" s="65"/>
      <c r="P50" s="65"/>
      <c r="Q50" s="65"/>
      <c r="R50" s="65"/>
      <c r="S50" s="65"/>
      <c r="T50" s="65"/>
      <c r="U50" s="65"/>
      <c r="V50" s="65"/>
      <c r="W50" s="65"/>
      <c r="X50" s="65"/>
      <c r="Y50" s="65"/>
      <c r="Z50" s="65"/>
      <c r="AA50" s="65"/>
      <c r="AB50" s="65"/>
      <c r="AC50" s="65"/>
      <c r="AD50" s="65"/>
      <c r="AE50" s="65"/>
      <c r="AF50" s="65"/>
      <c r="AG50" s="58"/>
      <c r="AH50" s="59" t="s">
        <v>3301</v>
      </c>
      <c r="AI50" s="59" t="s">
        <v>3302</v>
      </c>
      <c r="AJ50" s="59" t="s">
        <v>3303</v>
      </c>
      <c r="AK50" s="59" t="s">
        <v>3304</v>
      </c>
      <c r="AL50" s="59" t="s">
        <v>3305</v>
      </c>
      <c r="AM50" s="59" t="s">
        <v>3306</v>
      </c>
      <c r="AN50" s="59" t="s">
        <v>3307</v>
      </c>
      <c r="AO50" s="59" t="s">
        <v>3308</v>
      </c>
      <c r="AP50" s="59" t="s">
        <v>3309</v>
      </c>
      <c r="AQ50" s="59" t="s">
        <v>3310</v>
      </c>
      <c r="AR50" s="59" t="s">
        <v>3311</v>
      </c>
      <c r="AS50" s="59" t="s">
        <v>3312</v>
      </c>
      <c r="AT50" s="59" t="s">
        <v>3313</v>
      </c>
      <c r="AU50" s="59" t="s">
        <v>3314</v>
      </c>
      <c r="AV50" s="60" t="s">
        <v>3315</v>
      </c>
    </row>
    <row r="51" spans="1:48">
      <c r="A51" s="64"/>
      <c r="B51" s="64"/>
      <c r="C51" s="64"/>
      <c r="D51" s="64"/>
      <c r="E51" s="64"/>
      <c r="F51" s="64"/>
      <c r="G51" s="65"/>
      <c r="H51" s="65"/>
      <c r="I51" s="65"/>
      <c r="J51" s="65"/>
      <c r="K51" s="65"/>
      <c r="L51" s="65"/>
      <c r="M51" s="65"/>
      <c r="N51" s="65"/>
      <c r="O51" s="65"/>
      <c r="P51" s="65"/>
      <c r="Q51" s="65"/>
      <c r="R51" s="65"/>
      <c r="S51" s="65"/>
      <c r="T51" s="65"/>
      <c r="U51" s="65"/>
      <c r="V51" s="65"/>
      <c r="W51" s="65"/>
      <c r="X51" s="65"/>
      <c r="Y51" s="65"/>
      <c r="Z51" s="65"/>
      <c r="AA51" s="65"/>
      <c r="AB51" s="65"/>
      <c r="AC51" s="65"/>
      <c r="AD51" s="65"/>
      <c r="AE51" s="65"/>
      <c r="AF51" s="65"/>
      <c r="AG51" s="61" t="s">
        <v>3316</v>
      </c>
      <c r="AH51" s="62" t="s">
        <v>3317</v>
      </c>
      <c r="AI51" s="62" t="s">
        <v>3318</v>
      </c>
      <c r="AJ51" s="62" t="s">
        <v>3319</v>
      </c>
      <c r="AK51" s="62" t="s">
        <v>3320</v>
      </c>
      <c r="AL51" s="62" t="s">
        <v>3321</v>
      </c>
      <c r="AM51" s="62" t="s">
        <v>3322</v>
      </c>
      <c r="AN51" s="62" t="s">
        <v>3323</v>
      </c>
      <c r="AO51" s="62" t="s">
        <v>3324</v>
      </c>
      <c r="AP51" s="62" t="s">
        <v>3325</v>
      </c>
      <c r="AQ51" s="62" t="s">
        <v>3326</v>
      </c>
      <c r="AR51" s="62"/>
      <c r="AS51" s="62" t="s">
        <v>3327</v>
      </c>
      <c r="AT51" s="62" t="s">
        <v>3328</v>
      </c>
      <c r="AU51" s="62" t="s">
        <v>3329</v>
      </c>
      <c r="AV51" s="63" t="s">
        <v>3330</v>
      </c>
    </row>
    <row r="52" spans="1:48">
      <c r="A52" s="64"/>
      <c r="B52" s="64"/>
      <c r="C52" s="64"/>
      <c r="D52" s="64"/>
      <c r="E52" s="64"/>
      <c r="F52" s="64"/>
      <c r="G52" s="65"/>
      <c r="H52" s="65"/>
      <c r="I52" s="65"/>
      <c r="J52" s="65"/>
      <c r="K52" s="65"/>
      <c r="L52" s="65"/>
      <c r="M52" s="65"/>
      <c r="N52" s="65"/>
      <c r="O52" s="65"/>
      <c r="P52" s="65"/>
      <c r="Q52" s="65"/>
      <c r="R52" s="65"/>
      <c r="S52" s="65"/>
      <c r="T52" s="65"/>
      <c r="U52" s="65"/>
      <c r="V52" s="65"/>
      <c r="W52" s="65"/>
      <c r="X52" s="65"/>
      <c r="Y52" s="65"/>
      <c r="Z52" s="65"/>
      <c r="AA52" s="65"/>
      <c r="AB52" s="65"/>
      <c r="AC52" s="65"/>
      <c r="AD52" s="65"/>
      <c r="AE52" s="65"/>
      <c r="AF52" s="65"/>
      <c r="AG52" s="61" t="s">
        <v>3331</v>
      </c>
      <c r="AH52" s="62" t="s">
        <v>3332</v>
      </c>
      <c r="AI52" s="62" t="s">
        <v>3333</v>
      </c>
      <c r="AJ52" s="62" t="s">
        <v>3334</v>
      </c>
      <c r="AK52" s="62" t="s">
        <v>3335</v>
      </c>
      <c r="AL52" s="62" t="s">
        <v>3336</v>
      </c>
      <c r="AM52" s="62" t="s">
        <v>3337</v>
      </c>
      <c r="AN52" s="62" t="s">
        <v>3338</v>
      </c>
      <c r="AO52" s="62" t="s">
        <v>3339</v>
      </c>
      <c r="AP52" s="62" t="s">
        <v>3340</v>
      </c>
      <c r="AQ52" s="62" t="s">
        <v>3341</v>
      </c>
      <c r="AR52" s="62" t="s">
        <v>3342</v>
      </c>
      <c r="AS52" s="62" t="s">
        <v>3343</v>
      </c>
      <c r="AT52" s="62" t="s">
        <v>3344</v>
      </c>
      <c r="AU52" s="62" t="s">
        <v>3345</v>
      </c>
      <c r="AV52" s="63" t="s">
        <v>3346</v>
      </c>
    </row>
    <row r="53" spans="1:48">
      <c r="A53" s="64"/>
      <c r="B53" s="64"/>
      <c r="C53" s="64"/>
      <c r="D53" s="64"/>
      <c r="E53" s="64"/>
      <c r="F53" s="64"/>
      <c r="G53" s="65"/>
      <c r="H53" s="65"/>
      <c r="I53" s="65"/>
      <c r="J53" s="65"/>
      <c r="K53" s="65"/>
      <c r="L53" s="65"/>
      <c r="M53" s="65"/>
      <c r="N53" s="65"/>
      <c r="O53" s="65"/>
      <c r="P53" s="65"/>
      <c r="Q53" s="65"/>
      <c r="R53" s="65"/>
      <c r="S53" s="65"/>
      <c r="T53" s="65"/>
      <c r="U53" s="65"/>
      <c r="V53" s="65"/>
      <c r="W53" s="65"/>
      <c r="X53" s="65"/>
      <c r="Y53" s="65"/>
      <c r="Z53" s="65"/>
      <c r="AA53" s="65"/>
      <c r="AB53" s="65"/>
      <c r="AC53" s="65"/>
      <c r="AD53" s="65"/>
      <c r="AE53" s="65"/>
      <c r="AF53" s="65"/>
      <c r="AG53" s="61" t="s">
        <v>3347</v>
      </c>
      <c r="AH53" s="62" t="s">
        <v>3348</v>
      </c>
      <c r="AI53" s="62" t="s">
        <v>3349</v>
      </c>
      <c r="AJ53" s="62" t="s">
        <v>3350</v>
      </c>
      <c r="AK53" s="62" t="s">
        <v>3351</v>
      </c>
      <c r="AL53" s="62" t="s">
        <v>3352</v>
      </c>
      <c r="AM53" s="62" t="s">
        <v>3353</v>
      </c>
      <c r="AN53" s="62" t="s">
        <v>3354</v>
      </c>
      <c r="AO53" s="62" t="s">
        <v>3355</v>
      </c>
      <c r="AP53" s="62" t="s">
        <v>3356</v>
      </c>
      <c r="AQ53" s="62" t="s">
        <v>3357</v>
      </c>
      <c r="AR53" s="62" t="s">
        <v>3358</v>
      </c>
      <c r="AS53" s="62" t="s">
        <v>3359</v>
      </c>
      <c r="AT53" s="62" t="s">
        <v>3360</v>
      </c>
      <c r="AU53" s="62" t="s">
        <v>3361</v>
      </c>
      <c r="AV53" s="63" t="s">
        <v>3362</v>
      </c>
    </row>
    <row r="54" spans="1:48">
      <c r="A54" s="64"/>
      <c r="B54" s="64"/>
      <c r="C54" s="64"/>
      <c r="D54" s="64"/>
      <c r="E54" s="64"/>
      <c r="F54" s="64"/>
      <c r="G54" s="65"/>
      <c r="H54" s="65"/>
      <c r="I54" s="65"/>
      <c r="J54" s="65"/>
      <c r="K54" s="65"/>
      <c r="L54" s="65"/>
      <c r="M54" s="65"/>
      <c r="N54" s="65"/>
      <c r="O54" s="65"/>
      <c r="P54" s="65"/>
      <c r="Q54" s="65"/>
      <c r="R54" s="65"/>
      <c r="S54" s="65"/>
      <c r="T54" s="65"/>
      <c r="U54" s="65"/>
      <c r="V54" s="65"/>
      <c r="W54" s="65"/>
      <c r="X54" s="65"/>
      <c r="Y54" s="65"/>
      <c r="Z54" s="65"/>
      <c r="AA54" s="65"/>
      <c r="AB54" s="65"/>
      <c r="AC54" s="65"/>
      <c r="AD54" s="65"/>
      <c r="AE54" s="65"/>
      <c r="AF54" s="65"/>
      <c r="AG54" s="61" t="s">
        <v>3363</v>
      </c>
      <c r="AH54" s="62" t="s">
        <v>3364</v>
      </c>
      <c r="AI54" s="62" t="s">
        <v>3365</v>
      </c>
      <c r="AJ54" s="62" t="s">
        <v>3366</v>
      </c>
      <c r="AK54" s="62" t="s">
        <v>3367</v>
      </c>
      <c r="AL54" s="62" t="s">
        <v>3368</v>
      </c>
      <c r="AM54" s="62" t="s">
        <v>3369</v>
      </c>
      <c r="AN54" s="62" t="s">
        <v>3370</v>
      </c>
      <c r="AO54" s="62" t="s">
        <v>3371</v>
      </c>
      <c r="AP54" s="62" t="s">
        <v>3372</v>
      </c>
      <c r="AQ54" s="62" t="s">
        <v>3373</v>
      </c>
      <c r="AR54" s="62" t="s">
        <v>3374</v>
      </c>
      <c r="AS54" s="62" t="s">
        <v>3375</v>
      </c>
      <c r="AT54" s="62" t="s">
        <v>3376</v>
      </c>
      <c r="AU54" s="62" t="s">
        <v>3377</v>
      </c>
      <c r="AV54" s="63" t="s">
        <v>3378</v>
      </c>
    </row>
    <row r="55" spans="1:48">
      <c r="A55" s="64"/>
      <c r="B55" s="64"/>
      <c r="C55" s="64"/>
      <c r="D55" s="64"/>
      <c r="E55" s="64"/>
      <c r="F55" s="64"/>
      <c r="G55" s="65"/>
      <c r="H55" s="65"/>
      <c r="I55" s="65"/>
      <c r="J55" s="65"/>
      <c r="K55" s="65"/>
      <c r="L55" s="65"/>
      <c r="M55" s="65"/>
      <c r="N55" s="65"/>
      <c r="O55" s="65"/>
      <c r="P55" s="65"/>
      <c r="Q55" s="65"/>
      <c r="R55" s="65"/>
      <c r="S55" s="65"/>
      <c r="T55" s="65"/>
      <c r="U55" s="65"/>
      <c r="V55" s="65"/>
      <c r="W55" s="65"/>
      <c r="X55" s="65"/>
      <c r="Y55" s="65"/>
      <c r="Z55" s="65"/>
      <c r="AA55" s="65"/>
      <c r="AB55" s="65"/>
      <c r="AC55" s="65"/>
      <c r="AD55" s="65"/>
      <c r="AE55" s="65"/>
      <c r="AF55" s="65"/>
      <c r="AG55" s="61"/>
      <c r="AH55" s="62"/>
      <c r="AI55" s="62"/>
      <c r="AJ55" s="62"/>
      <c r="AK55" s="62"/>
      <c r="AL55" s="62"/>
      <c r="AM55" s="62"/>
      <c r="AN55" s="62"/>
      <c r="AO55" s="62"/>
      <c r="AP55" s="62"/>
      <c r="AQ55" s="62"/>
      <c r="AR55" s="62"/>
      <c r="AS55" s="62"/>
      <c r="AT55" s="62"/>
      <c r="AU55" s="62"/>
      <c r="AV55" s="63"/>
    </row>
    <row r="56" spans="1:48">
      <c r="A56" s="64"/>
      <c r="B56" s="64"/>
      <c r="C56" s="64"/>
      <c r="D56" s="64"/>
      <c r="E56" s="64"/>
      <c r="F56" s="64"/>
      <c r="G56" s="65"/>
      <c r="H56" s="65"/>
      <c r="I56" s="65"/>
      <c r="J56" s="65"/>
      <c r="K56" s="65"/>
      <c r="L56" s="65"/>
      <c r="M56" s="65"/>
      <c r="N56" s="65"/>
      <c r="O56" s="65"/>
      <c r="P56" s="65"/>
      <c r="Q56" s="65"/>
      <c r="R56" s="65"/>
      <c r="S56" s="65"/>
      <c r="T56" s="65"/>
      <c r="U56" s="65"/>
      <c r="V56" s="65"/>
      <c r="W56" s="65"/>
      <c r="X56" s="65"/>
      <c r="Y56" s="65"/>
      <c r="Z56" s="65"/>
      <c r="AA56" s="65"/>
      <c r="AB56" s="65"/>
      <c r="AC56" s="65"/>
      <c r="AD56" s="65"/>
      <c r="AE56" s="65"/>
      <c r="AF56" s="65"/>
      <c r="AG56" s="61" t="s">
        <v>3379</v>
      </c>
      <c r="AH56" s="62" t="s">
        <v>3380</v>
      </c>
      <c r="AI56" s="62" t="s">
        <v>3381</v>
      </c>
      <c r="AJ56" s="62" t="s">
        <v>3382</v>
      </c>
      <c r="AK56" s="62" t="s">
        <v>3383</v>
      </c>
      <c r="AL56" s="62" t="s">
        <v>3384</v>
      </c>
      <c r="AM56" s="62" t="s">
        <v>3385</v>
      </c>
      <c r="AN56" s="62" t="s">
        <v>3386</v>
      </c>
      <c r="AO56" s="62" t="s">
        <v>3387</v>
      </c>
      <c r="AP56" s="62" t="s">
        <v>3388</v>
      </c>
      <c r="AQ56" s="62" t="s">
        <v>3389</v>
      </c>
      <c r="AR56" s="62" t="s">
        <v>3390</v>
      </c>
      <c r="AS56" s="62" t="s">
        <v>3391</v>
      </c>
      <c r="AT56" s="62" t="s">
        <v>3392</v>
      </c>
      <c r="AU56" s="62" t="s">
        <v>3393</v>
      </c>
      <c r="AV56" s="63"/>
    </row>
    <row r="57" spans="1:48">
      <c r="A57" s="64"/>
      <c r="B57" s="64"/>
      <c r="C57" s="64"/>
      <c r="D57" s="64"/>
      <c r="E57" s="64"/>
      <c r="F57" s="64"/>
      <c r="G57" s="65"/>
      <c r="H57" s="65"/>
      <c r="I57" s="65"/>
      <c r="J57" s="65"/>
      <c r="K57" s="65"/>
      <c r="L57" s="65"/>
      <c r="M57" s="65"/>
      <c r="N57" s="65"/>
      <c r="O57" s="65"/>
      <c r="P57" s="65"/>
      <c r="Q57" s="65"/>
      <c r="R57" s="65"/>
      <c r="S57" s="65"/>
      <c r="T57" s="65"/>
      <c r="U57" s="65"/>
      <c r="V57" s="65"/>
      <c r="W57" s="65"/>
      <c r="X57" s="65"/>
      <c r="Y57" s="65"/>
      <c r="Z57" s="65"/>
      <c r="AA57" s="65"/>
      <c r="AB57" s="65"/>
      <c r="AC57" s="65"/>
      <c r="AD57" s="65"/>
      <c r="AE57" s="65"/>
      <c r="AF57" s="65"/>
      <c r="AG57" s="61"/>
      <c r="AH57" s="62" t="s">
        <v>3394</v>
      </c>
      <c r="AI57" s="62" t="s">
        <v>3395</v>
      </c>
      <c r="AJ57" s="62" t="s">
        <v>3396</v>
      </c>
      <c r="AK57" s="62" t="s">
        <v>3397</v>
      </c>
      <c r="AL57" s="62" t="s">
        <v>3398</v>
      </c>
      <c r="AM57" s="62" t="s">
        <v>3399</v>
      </c>
      <c r="AN57" s="62" t="s">
        <v>3400</v>
      </c>
      <c r="AO57" s="62" t="s">
        <v>3401</v>
      </c>
      <c r="AP57" s="62" t="s">
        <v>3402</v>
      </c>
      <c r="AQ57" s="62" t="s">
        <v>3403</v>
      </c>
      <c r="AR57" s="62" t="s">
        <v>3404</v>
      </c>
      <c r="AS57" s="62" t="s">
        <v>3405</v>
      </c>
      <c r="AT57" s="62" t="s">
        <v>3406</v>
      </c>
      <c r="AU57" s="62" t="s">
        <v>3407</v>
      </c>
      <c r="AV57" s="63" t="s">
        <v>3408</v>
      </c>
    </row>
    <row r="58" spans="1:48">
      <c r="A58" s="64"/>
      <c r="B58" s="64"/>
      <c r="C58" s="64"/>
      <c r="D58" s="64"/>
      <c r="E58" s="64"/>
      <c r="F58" s="64"/>
      <c r="G58" s="65"/>
      <c r="H58" s="65"/>
      <c r="I58" s="65"/>
      <c r="J58" s="65"/>
      <c r="K58" s="65"/>
      <c r="L58" s="65"/>
      <c r="M58" s="65"/>
      <c r="N58" s="65"/>
      <c r="O58" s="65"/>
      <c r="P58" s="65"/>
      <c r="Q58" s="65"/>
      <c r="R58" s="65"/>
      <c r="S58" s="65"/>
      <c r="T58" s="65"/>
      <c r="U58" s="65"/>
      <c r="V58" s="65"/>
      <c r="W58" s="65"/>
      <c r="X58" s="65"/>
      <c r="Y58" s="65"/>
      <c r="Z58" s="65"/>
      <c r="AA58" s="65"/>
      <c r="AB58" s="65"/>
      <c r="AC58" s="65"/>
      <c r="AD58" s="65"/>
      <c r="AE58" s="65"/>
      <c r="AF58" s="65"/>
      <c r="AG58" s="61" t="s">
        <v>3409</v>
      </c>
      <c r="AH58" s="62" t="s">
        <v>3410</v>
      </c>
      <c r="AI58" s="62" t="s">
        <v>3411</v>
      </c>
      <c r="AJ58" s="62" t="s">
        <v>3412</v>
      </c>
      <c r="AK58" s="62" t="s">
        <v>3413</v>
      </c>
      <c r="AL58" s="62" t="s">
        <v>3414</v>
      </c>
      <c r="AM58" s="62" t="s">
        <v>3415</v>
      </c>
      <c r="AN58" s="62" t="s">
        <v>3416</v>
      </c>
      <c r="AO58" s="62" t="s">
        <v>3417</v>
      </c>
      <c r="AP58" s="62" t="s">
        <v>3418</v>
      </c>
      <c r="AQ58" s="62" t="s">
        <v>3419</v>
      </c>
      <c r="AR58" s="62" t="s">
        <v>3420</v>
      </c>
      <c r="AS58" s="62" t="s">
        <v>3421</v>
      </c>
      <c r="AT58" s="62" t="s">
        <v>3422</v>
      </c>
      <c r="AU58" s="62" t="s">
        <v>3423</v>
      </c>
      <c r="AV58" s="63" t="s">
        <v>3424</v>
      </c>
    </row>
    <row r="59" spans="1:48">
      <c r="A59" s="64"/>
      <c r="B59" s="64"/>
      <c r="C59" s="64"/>
      <c r="D59" s="64"/>
      <c r="E59" s="64"/>
      <c r="F59" s="64"/>
      <c r="G59" s="65"/>
      <c r="H59" s="65"/>
      <c r="I59" s="65"/>
      <c r="J59" s="65"/>
      <c r="K59" s="65"/>
      <c r="L59" s="65"/>
      <c r="M59" s="65"/>
      <c r="N59" s="65"/>
      <c r="O59" s="65"/>
      <c r="P59" s="65"/>
      <c r="Q59" s="65"/>
      <c r="R59" s="65"/>
      <c r="S59" s="65"/>
      <c r="T59" s="65"/>
      <c r="U59" s="65"/>
      <c r="V59" s="65"/>
      <c r="W59" s="65"/>
      <c r="X59" s="65"/>
      <c r="Y59" s="65"/>
      <c r="Z59" s="65"/>
      <c r="AA59" s="65"/>
      <c r="AB59" s="65"/>
      <c r="AC59" s="65"/>
      <c r="AD59" s="65"/>
      <c r="AE59" s="65"/>
      <c r="AF59" s="65"/>
      <c r="AG59" s="61" t="s">
        <v>3425</v>
      </c>
      <c r="AH59" s="62" t="s">
        <v>3426</v>
      </c>
      <c r="AI59" s="62" t="s">
        <v>3427</v>
      </c>
      <c r="AJ59" s="62" t="s">
        <v>3428</v>
      </c>
      <c r="AK59" s="62" t="s">
        <v>3429</v>
      </c>
      <c r="AL59" s="62" t="s">
        <v>3430</v>
      </c>
      <c r="AM59" s="62" t="s">
        <v>3431</v>
      </c>
      <c r="AN59" s="62" t="s">
        <v>3432</v>
      </c>
      <c r="AO59" s="62" t="s">
        <v>3433</v>
      </c>
      <c r="AP59" s="62" t="s">
        <v>3434</v>
      </c>
      <c r="AQ59" s="62" t="s">
        <v>3435</v>
      </c>
      <c r="AR59" s="62" t="s">
        <v>3436</v>
      </c>
      <c r="AS59" s="62" t="s">
        <v>3437</v>
      </c>
      <c r="AT59" s="62" t="s">
        <v>3438</v>
      </c>
      <c r="AU59" s="62" t="s">
        <v>3439</v>
      </c>
      <c r="AV59" s="63" t="s">
        <v>3440</v>
      </c>
    </row>
    <row r="60" spans="1:48">
      <c r="A60" s="64"/>
      <c r="B60" s="64"/>
      <c r="C60" s="64"/>
      <c r="D60" s="64"/>
      <c r="E60" s="64"/>
      <c r="F60" s="64"/>
      <c r="G60" s="65"/>
      <c r="H60" s="65"/>
      <c r="I60" s="65"/>
      <c r="J60" s="65"/>
      <c r="K60" s="65"/>
      <c r="L60" s="65"/>
      <c r="M60" s="65"/>
      <c r="N60" s="65"/>
      <c r="O60" s="65"/>
      <c r="P60" s="65"/>
      <c r="Q60" s="65"/>
      <c r="R60" s="65"/>
      <c r="S60" s="65"/>
      <c r="T60" s="65"/>
      <c r="U60" s="65"/>
      <c r="V60" s="65"/>
      <c r="W60" s="65"/>
      <c r="X60" s="65"/>
      <c r="Y60" s="65"/>
      <c r="Z60" s="65"/>
      <c r="AA60" s="65"/>
      <c r="AB60" s="65"/>
      <c r="AC60" s="65"/>
      <c r="AD60" s="65"/>
      <c r="AE60" s="65"/>
      <c r="AF60" s="65"/>
      <c r="AG60" s="61" t="s">
        <v>3441</v>
      </c>
      <c r="AH60" s="62" t="s">
        <v>3442</v>
      </c>
      <c r="AI60" s="62" t="s">
        <v>3443</v>
      </c>
      <c r="AJ60" s="62" t="s">
        <v>3444</v>
      </c>
      <c r="AK60" s="62" t="s">
        <v>3445</v>
      </c>
      <c r="AL60" s="62" t="s">
        <v>3446</v>
      </c>
      <c r="AM60" s="62" t="s">
        <v>3447</v>
      </c>
      <c r="AN60" s="62" t="s">
        <v>3448</v>
      </c>
      <c r="AO60" s="62" t="s">
        <v>3449</v>
      </c>
      <c r="AP60" s="62" t="s">
        <v>3450</v>
      </c>
      <c r="AQ60" s="62" t="s">
        <v>3451</v>
      </c>
      <c r="AR60" s="62" t="s">
        <v>3452</v>
      </c>
      <c r="AS60" s="62" t="s">
        <v>3453</v>
      </c>
      <c r="AT60" s="62" t="s">
        <v>3454</v>
      </c>
      <c r="AU60" s="62" t="s">
        <v>3455</v>
      </c>
      <c r="AV60" s="63" t="s">
        <v>3456</v>
      </c>
    </row>
    <row r="61" spans="1:48">
      <c r="A61" s="64"/>
      <c r="B61" s="64"/>
      <c r="C61" s="64"/>
      <c r="D61" s="64"/>
      <c r="E61" s="64"/>
      <c r="F61" s="64"/>
      <c r="G61" s="65"/>
      <c r="H61" s="65"/>
      <c r="I61" s="65"/>
      <c r="J61" s="65"/>
      <c r="K61" s="65"/>
      <c r="L61" s="65"/>
      <c r="M61" s="65"/>
      <c r="N61" s="65"/>
      <c r="O61" s="65"/>
      <c r="P61" s="65"/>
      <c r="Q61" s="65"/>
      <c r="R61" s="65"/>
      <c r="S61" s="65"/>
      <c r="T61" s="65"/>
      <c r="U61" s="65"/>
      <c r="V61" s="65"/>
      <c r="W61" s="65"/>
      <c r="X61" s="65"/>
      <c r="Y61" s="65"/>
      <c r="Z61" s="65"/>
      <c r="AA61" s="65"/>
      <c r="AB61" s="65"/>
      <c r="AC61" s="65"/>
      <c r="AD61" s="65"/>
      <c r="AE61" s="65"/>
      <c r="AF61" s="65"/>
      <c r="AG61" s="61" t="s">
        <v>3457</v>
      </c>
      <c r="AH61" s="62" t="s">
        <v>3458</v>
      </c>
      <c r="AI61" s="62" t="s">
        <v>3459</v>
      </c>
      <c r="AJ61" s="62" t="s">
        <v>3460</v>
      </c>
      <c r="AK61" s="62" t="s">
        <v>3461</v>
      </c>
      <c r="AL61" s="62" t="s">
        <v>3462</v>
      </c>
      <c r="AM61" s="62" t="s">
        <v>3463</v>
      </c>
      <c r="AN61" s="62" t="s">
        <v>3464</v>
      </c>
      <c r="AO61" s="62" t="s">
        <v>3465</v>
      </c>
      <c r="AP61" s="62" t="s">
        <v>3466</v>
      </c>
      <c r="AQ61" s="62" t="s">
        <v>3467</v>
      </c>
      <c r="AR61" s="62" t="s">
        <v>3468</v>
      </c>
      <c r="AS61" s="62" t="s">
        <v>3469</v>
      </c>
      <c r="AT61" s="62" t="s">
        <v>3470</v>
      </c>
      <c r="AU61" s="62" t="s">
        <v>3471</v>
      </c>
      <c r="AV61" s="63" t="s">
        <v>3472</v>
      </c>
    </row>
    <row r="62" spans="1:48">
      <c r="A62" s="64"/>
      <c r="B62" s="64"/>
      <c r="C62" s="64"/>
      <c r="D62" s="64"/>
      <c r="E62" s="64"/>
      <c r="F62" s="64"/>
      <c r="G62" s="65"/>
      <c r="H62" s="65"/>
      <c r="I62" s="65"/>
      <c r="J62" s="65"/>
      <c r="K62" s="65"/>
      <c r="L62" s="65"/>
      <c r="M62" s="65"/>
      <c r="N62" s="65"/>
      <c r="O62" s="65"/>
      <c r="P62" s="65"/>
      <c r="Q62" s="65"/>
      <c r="R62" s="65"/>
      <c r="S62" s="65"/>
      <c r="T62" s="65"/>
      <c r="U62" s="65"/>
      <c r="V62" s="65"/>
      <c r="W62" s="65"/>
      <c r="X62" s="65"/>
      <c r="Y62" s="65"/>
      <c r="Z62" s="65"/>
      <c r="AA62" s="65"/>
      <c r="AB62" s="65"/>
      <c r="AC62" s="65"/>
      <c r="AD62" s="65"/>
      <c r="AE62" s="65"/>
      <c r="AF62" s="65"/>
      <c r="AG62" s="61" t="s">
        <v>3473</v>
      </c>
      <c r="AH62" s="62" t="s">
        <v>3474</v>
      </c>
      <c r="AI62" s="62" t="s">
        <v>3475</v>
      </c>
      <c r="AJ62" s="62" t="s">
        <v>3476</v>
      </c>
      <c r="AK62" s="62" t="s">
        <v>3477</v>
      </c>
      <c r="AL62" s="62" t="s">
        <v>3478</v>
      </c>
      <c r="AM62" s="62" t="s">
        <v>3479</v>
      </c>
      <c r="AN62" s="62" t="s">
        <v>3480</v>
      </c>
      <c r="AO62" s="62" t="s">
        <v>3481</v>
      </c>
      <c r="AP62" s="62" t="s">
        <v>3482</v>
      </c>
      <c r="AQ62" s="62" t="s">
        <v>3483</v>
      </c>
      <c r="AR62" s="62" t="s">
        <v>3484</v>
      </c>
      <c r="AS62" s="62" t="s">
        <v>3485</v>
      </c>
      <c r="AT62" s="62" t="s">
        <v>3486</v>
      </c>
      <c r="AU62" s="62" t="s">
        <v>3487</v>
      </c>
      <c r="AV62" s="63"/>
    </row>
    <row r="63" spans="1:48">
      <c r="A63" s="64"/>
      <c r="B63" s="64"/>
      <c r="C63" s="64"/>
      <c r="D63" s="64"/>
      <c r="E63" s="64"/>
      <c r="F63" s="64"/>
      <c r="G63" s="65"/>
      <c r="H63" s="65"/>
      <c r="I63" s="65"/>
      <c r="J63" s="65"/>
      <c r="K63" s="65"/>
      <c r="L63" s="65"/>
      <c r="M63" s="65"/>
      <c r="N63" s="65"/>
      <c r="O63" s="65"/>
      <c r="P63" s="65"/>
      <c r="Q63" s="65"/>
      <c r="R63" s="65"/>
      <c r="S63" s="65"/>
      <c r="T63" s="65"/>
      <c r="U63" s="65"/>
      <c r="V63" s="65"/>
      <c r="W63" s="65"/>
      <c r="X63" s="65"/>
      <c r="Y63" s="65"/>
      <c r="Z63" s="65"/>
      <c r="AA63" s="65"/>
      <c r="AB63" s="65"/>
      <c r="AC63" s="65"/>
      <c r="AD63" s="65"/>
      <c r="AE63" s="65"/>
      <c r="AF63" s="65"/>
      <c r="AG63" s="61" t="s">
        <v>3488</v>
      </c>
      <c r="AH63" s="62" t="s">
        <v>3489</v>
      </c>
      <c r="AI63" s="62" t="s">
        <v>3490</v>
      </c>
      <c r="AJ63" s="62" t="s">
        <v>3491</v>
      </c>
      <c r="AK63" s="62" t="s">
        <v>3492</v>
      </c>
      <c r="AL63" s="62" t="s">
        <v>3493</v>
      </c>
      <c r="AM63" s="62" t="s">
        <v>3494</v>
      </c>
      <c r="AN63" s="62" t="s">
        <v>3495</v>
      </c>
      <c r="AO63" s="62" t="s">
        <v>3496</v>
      </c>
      <c r="AP63" s="62" t="s">
        <v>3497</v>
      </c>
      <c r="AQ63" s="62" t="s">
        <v>3498</v>
      </c>
      <c r="AR63" s="62" t="s">
        <v>3499</v>
      </c>
      <c r="AS63" s="62" t="s">
        <v>3500</v>
      </c>
      <c r="AT63" s="62" t="s">
        <v>3501</v>
      </c>
      <c r="AU63" s="62" t="s">
        <v>3502</v>
      </c>
      <c r="AV63" s="63" t="s">
        <v>3503</v>
      </c>
    </row>
    <row r="64" spans="1:48">
      <c r="A64" s="64"/>
      <c r="B64" s="64"/>
      <c r="C64" s="64"/>
      <c r="D64" s="64"/>
      <c r="E64" s="64"/>
      <c r="F64" s="64"/>
      <c r="G64" s="65"/>
      <c r="H64" s="65"/>
      <c r="I64" s="65"/>
      <c r="J64" s="65"/>
      <c r="K64" s="65"/>
      <c r="L64" s="65"/>
      <c r="M64" s="65"/>
      <c r="N64" s="65"/>
      <c r="O64" s="65"/>
      <c r="P64" s="65"/>
      <c r="Q64" s="65"/>
      <c r="R64" s="65"/>
      <c r="S64" s="65"/>
      <c r="T64" s="65"/>
      <c r="U64" s="65"/>
      <c r="V64" s="65"/>
      <c r="W64" s="65"/>
      <c r="X64" s="65"/>
      <c r="Y64" s="65"/>
      <c r="Z64" s="65"/>
      <c r="AA64" s="65"/>
      <c r="AB64" s="65"/>
      <c r="AC64" s="65"/>
      <c r="AD64" s="65"/>
      <c r="AE64" s="65"/>
      <c r="AF64" s="65"/>
      <c r="AG64" s="61" t="s">
        <v>3504</v>
      </c>
      <c r="AH64" s="62" t="s">
        <v>3505</v>
      </c>
      <c r="AI64" s="62" t="s">
        <v>3506</v>
      </c>
      <c r="AJ64" s="62" t="s">
        <v>3507</v>
      </c>
      <c r="AK64" s="62" t="s">
        <v>3508</v>
      </c>
      <c r="AL64" s="62" t="s">
        <v>3509</v>
      </c>
      <c r="AM64" s="62" t="s">
        <v>3510</v>
      </c>
      <c r="AN64" s="62" t="s">
        <v>3511</v>
      </c>
      <c r="AO64" s="62" t="s">
        <v>3512</v>
      </c>
      <c r="AP64" s="62" t="s">
        <v>3513</v>
      </c>
      <c r="AQ64" s="62" t="s">
        <v>3514</v>
      </c>
      <c r="AR64" s="62" t="s">
        <v>3515</v>
      </c>
      <c r="AS64" s="62" t="s">
        <v>3516</v>
      </c>
      <c r="AT64" s="62" t="s">
        <v>3517</v>
      </c>
      <c r="AU64" s="62" t="s">
        <v>3518</v>
      </c>
      <c r="AV64" s="63" t="s">
        <v>3519</v>
      </c>
    </row>
    <row r="65" spans="1:48">
      <c r="A65" s="64"/>
      <c r="B65" s="64"/>
      <c r="C65" s="64"/>
      <c r="D65" s="64"/>
      <c r="E65" s="64"/>
      <c r="F65" s="64"/>
      <c r="G65" s="65"/>
      <c r="H65" s="65"/>
      <c r="I65" s="65"/>
      <c r="J65" s="65"/>
      <c r="K65" s="65"/>
      <c r="L65" s="65"/>
      <c r="M65" s="65"/>
      <c r="N65" s="65"/>
      <c r="O65" s="65"/>
      <c r="P65" s="65"/>
      <c r="Q65" s="65"/>
      <c r="R65" s="65"/>
      <c r="S65" s="65"/>
      <c r="T65" s="65"/>
      <c r="U65" s="65"/>
      <c r="V65" s="65"/>
      <c r="W65" s="65"/>
      <c r="X65" s="65"/>
      <c r="Y65" s="65"/>
      <c r="Z65" s="65"/>
      <c r="AA65" s="65"/>
      <c r="AB65" s="65"/>
      <c r="AC65" s="65"/>
      <c r="AD65" s="65"/>
      <c r="AE65" s="65"/>
      <c r="AF65" s="65"/>
      <c r="AG65" s="66" t="s">
        <v>3520</v>
      </c>
      <c r="AH65" s="67" t="s">
        <v>3521</v>
      </c>
      <c r="AI65" s="67" t="s">
        <v>3522</v>
      </c>
      <c r="AJ65" s="67" t="s">
        <v>3523</v>
      </c>
      <c r="AK65" s="67" t="s">
        <v>3524</v>
      </c>
      <c r="AL65" s="67" t="s">
        <v>3525</v>
      </c>
      <c r="AM65" s="67" t="s">
        <v>3526</v>
      </c>
      <c r="AN65" s="67" t="s">
        <v>3527</v>
      </c>
      <c r="AO65" s="67" t="s">
        <v>3528</v>
      </c>
      <c r="AP65" s="67" t="s">
        <v>3529</v>
      </c>
      <c r="AQ65" s="67" t="s">
        <v>3530</v>
      </c>
      <c r="AR65" s="67" t="s">
        <v>3531</v>
      </c>
      <c r="AS65" s="67" t="s">
        <v>3532</v>
      </c>
      <c r="AT65" s="67" t="s">
        <v>3533</v>
      </c>
      <c r="AU65" s="67" t="s">
        <v>3534</v>
      </c>
      <c r="AV65" s="68" t="s">
        <v>3535</v>
      </c>
    </row>
    <row r="66" spans="1:48">
      <c r="A66" s="64"/>
      <c r="B66" s="64"/>
      <c r="C66" s="64"/>
      <c r="D66" s="64"/>
      <c r="E66" s="64"/>
      <c r="F66" s="64"/>
      <c r="G66" s="65"/>
      <c r="H66" s="65"/>
      <c r="I66" s="65"/>
      <c r="J66" s="65"/>
      <c r="K66" s="65"/>
      <c r="L66" s="65"/>
      <c r="M66" s="65"/>
      <c r="N66" s="65"/>
      <c r="O66" s="65"/>
      <c r="P66" s="65"/>
      <c r="Q66" s="65"/>
      <c r="R66" s="65"/>
      <c r="S66" s="65"/>
      <c r="T66" s="65"/>
      <c r="U66" s="65"/>
      <c r="V66" s="65"/>
      <c r="W66" s="65"/>
      <c r="X66" s="65"/>
      <c r="Y66" s="65"/>
      <c r="Z66" s="65"/>
      <c r="AA66" s="65"/>
      <c r="AB66" s="65"/>
      <c r="AC66" s="65"/>
      <c r="AD66" s="65"/>
      <c r="AE66" s="65"/>
      <c r="AF66" s="65"/>
      <c r="AG66" s="58" t="s">
        <v>3536</v>
      </c>
      <c r="AH66" s="59" t="s">
        <v>3537</v>
      </c>
      <c r="AI66" s="59" t="s">
        <v>3538</v>
      </c>
      <c r="AJ66" s="59" t="s">
        <v>3539</v>
      </c>
      <c r="AK66" s="59" t="s">
        <v>3540</v>
      </c>
      <c r="AL66" s="59" t="s">
        <v>3541</v>
      </c>
      <c r="AM66" s="59" t="s">
        <v>3542</v>
      </c>
      <c r="AN66" s="59" t="s">
        <v>3543</v>
      </c>
      <c r="AO66" s="59" t="s">
        <v>3544</v>
      </c>
      <c r="AP66" s="59" t="s">
        <v>3545</v>
      </c>
      <c r="AQ66" s="59" t="s">
        <v>3546</v>
      </c>
      <c r="AR66" s="59" t="s">
        <v>3547</v>
      </c>
      <c r="AS66" s="59" t="s">
        <v>3548</v>
      </c>
      <c r="AT66" s="59" t="s">
        <v>3549</v>
      </c>
      <c r="AU66" s="59" t="s">
        <v>3550</v>
      </c>
      <c r="AV66" s="60" t="s">
        <v>3551</v>
      </c>
    </row>
    <row r="67" spans="1:48">
      <c r="A67" s="64"/>
      <c r="B67" s="64"/>
      <c r="C67" s="64"/>
      <c r="D67" s="64"/>
      <c r="E67" s="64"/>
      <c r="F67" s="64"/>
      <c r="G67" s="65"/>
      <c r="H67" s="65"/>
      <c r="I67" s="65"/>
      <c r="J67" s="65"/>
      <c r="K67" s="65"/>
      <c r="L67" s="65"/>
      <c r="M67" s="65"/>
      <c r="N67" s="65"/>
      <c r="O67" s="65"/>
      <c r="P67" s="65"/>
      <c r="Q67" s="65"/>
      <c r="R67" s="65"/>
      <c r="S67" s="65"/>
      <c r="T67" s="65"/>
      <c r="U67" s="65"/>
      <c r="V67" s="65"/>
      <c r="W67" s="65"/>
      <c r="X67" s="65"/>
      <c r="Y67" s="65"/>
      <c r="Z67" s="65"/>
      <c r="AA67" s="65"/>
      <c r="AB67" s="65"/>
      <c r="AC67" s="65"/>
      <c r="AD67" s="65"/>
      <c r="AE67" s="65"/>
      <c r="AF67" s="65"/>
      <c r="AG67" s="61" t="s">
        <v>3552</v>
      </c>
      <c r="AH67" s="62" t="s">
        <v>3553</v>
      </c>
      <c r="AI67" s="62" t="s">
        <v>3554</v>
      </c>
      <c r="AJ67" s="62" t="s">
        <v>3555</v>
      </c>
      <c r="AK67" s="62" t="s">
        <v>3556</v>
      </c>
      <c r="AL67" s="62" t="s">
        <v>3557</v>
      </c>
      <c r="AM67" s="62" t="s">
        <v>3558</v>
      </c>
      <c r="AN67" s="62" t="s">
        <v>3559</v>
      </c>
      <c r="AO67" s="62" t="s">
        <v>3560</v>
      </c>
      <c r="AP67" s="62" t="s">
        <v>3561</v>
      </c>
      <c r="AQ67" s="62" t="s">
        <v>3562</v>
      </c>
      <c r="AR67" s="62" t="s">
        <v>3563</v>
      </c>
      <c r="AS67" s="62" t="s">
        <v>3564</v>
      </c>
      <c r="AT67" s="62" t="s">
        <v>3565</v>
      </c>
      <c r="AU67" s="62" t="s">
        <v>3566</v>
      </c>
      <c r="AV67" s="63" t="s">
        <v>3567</v>
      </c>
    </row>
    <row r="68" spans="1:48">
      <c r="A68" s="64"/>
      <c r="B68" s="64"/>
      <c r="C68" s="64"/>
      <c r="D68" s="64"/>
      <c r="E68" s="64"/>
      <c r="F68" s="64"/>
      <c r="G68" s="65"/>
      <c r="H68" s="65"/>
      <c r="I68" s="65"/>
      <c r="J68" s="65"/>
      <c r="K68" s="65"/>
      <c r="L68" s="65"/>
      <c r="M68" s="65"/>
      <c r="N68" s="65"/>
      <c r="O68" s="65"/>
      <c r="P68" s="65"/>
      <c r="Q68" s="65"/>
      <c r="R68" s="65"/>
      <c r="S68" s="65"/>
      <c r="T68" s="65"/>
      <c r="U68" s="65"/>
      <c r="V68" s="65"/>
      <c r="W68" s="65"/>
      <c r="X68" s="65"/>
      <c r="Y68" s="65"/>
      <c r="Z68" s="65"/>
      <c r="AA68" s="65"/>
      <c r="AB68" s="65"/>
      <c r="AC68" s="65"/>
      <c r="AD68" s="65"/>
      <c r="AE68" s="65"/>
      <c r="AF68" s="65"/>
      <c r="AG68" s="61" t="s">
        <v>3568</v>
      </c>
      <c r="AH68" s="62" t="s">
        <v>3569</v>
      </c>
      <c r="AI68" s="62" t="s">
        <v>3570</v>
      </c>
      <c r="AJ68" s="62" t="s">
        <v>3571</v>
      </c>
      <c r="AK68" s="62" t="s">
        <v>3572</v>
      </c>
      <c r="AL68" s="62" t="s">
        <v>3573</v>
      </c>
      <c r="AM68" s="62" t="s">
        <v>3574</v>
      </c>
      <c r="AN68" s="62" t="s">
        <v>3575</v>
      </c>
      <c r="AO68" s="62" t="s">
        <v>3576</v>
      </c>
      <c r="AP68" s="62" t="s">
        <v>3577</v>
      </c>
      <c r="AQ68" s="62" t="s">
        <v>3578</v>
      </c>
      <c r="AR68" s="62" t="s">
        <v>3579</v>
      </c>
      <c r="AS68" s="62" t="s">
        <v>3580</v>
      </c>
      <c r="AT68" s="62" t="s">
        <v>3581</v>
      </c>
      <c r="AU68" s="62" t="s">
        <v>3582</v>
      </c>
      <c r="AV68" s="63"/>
    </row>
    <row r="69" spans="1:48">
      <c r="A69" s="64"/>
      <c r="B69" s="64"/>
      <c r="C69" s="64"/>
      <c r="D69" s="64"/>
      <c r="E69" s="64"/>
      <c r="F69" s="64"/>
      <c r="G69" s="65"/>
      <c r="H69" s="65"/>
      <c r="I69" s="65"/>
      <c r="J69" s="65"/>
      <c r="K69" s="65"/>
      <c r="L69" s="65"/>
      <c r="M69" s="65"/>
      <c r="N69" s="65"/>
      <c r="O69" s="65"/>
      <c r="P69" s="65"/>
      <c r="Q69" s="65"/>
      <c r="R69" s="65"/>
      <c r="S69" s="65"/>
      <c r="T69" s="65"/>
      <c r="U69" s="65"/>
      <c r="V69" s="65"/>
      <c r="W69" s="65"/>
      <c r="X69" s="65"/>
      <c r="Y69" s="65"/>
      <c r="Z69" s="65"/>
      <c r="AA69" s="65"/>
      <c r="AB69" s="65"/>
      <c r="AC69" s="65"/>
      <c r="AD69" s="65"/>
      <c r="AE69" s="65"/>
      <c r="AF69" s="65"/>
      <c r="AG69" s="61"/>
      <c r="AH69" s="62" t="s">
        <v>3583</v>
      </c>
      <c r="AI69" s="62" t="s">
        <v>3584</v>
      </c>
      <c r="AJ69" s="62" t="s">
        <v>3585</v>
      </c>
      <c r="AK69" s="62" t="s">
        <v>3586</v>
      </c>
      <c r="AL69" s="62" t="s">
        <v>3587</v>
      </c>
      <c r="AM69" s="62" t="s">
        <v>3588</v>
      </c>
      <c r="AN69" s="62" t="s">
        <v>3589</v>
      </c>
      <c r="AO69" s="62" t="s">
        <v>3590</v>
      </c>
      <c r="AP69" s="62" t="s">
        <v>3591</v>
      </c>
      <c r="AQ69" s="62" t="s">
        <v>3592</v>
      </c>
      <c r="AR69" s="62" t="s">
        <v>3593</v>
      </c>
      <c r="AS69" s="62" t="s">
        <v>3594</v>
      </c>
      <c r="AT69" s="62" t="s">
        <v>3595</v>
      </c>
      <c r="AU69" s="62" t="s">
        <v>3596</v>
      </c>
      <c r="AV69" s="63" t="s">
        <v>3597</v>
      </c>
    </row>
    <row r="70" spans="1:48">
      <c r="A70" s="64"/>
      <c r="B70" s="64"/>
      <c r="C70" s="64"/>
      <c r="D70" s="64"/>
      <c r="E70" s="64"/>
      <c r="F70" s="64"/>
      <c r="G70" s="65"/>
      <c r="H70" s="65"/>
      <c r="I70" s="65"/>
      <c r="J70" s="65"/>
      <c r="K70" s="65"/>
      <c r="L70" s="65"/>
      <c r="M70" s="65"/>
      <c r="N70" s="65"/>
      <c r="O70" s="65"/>
      <c r="P70" s="65"/>
      <c r="Q70" s="65"/>
      <c r="R70" s="65"/>
      <c r="S70" s="65"/>
      <c r="T70" s="65"/>
      <c r="U70" s="65"/>
      <c r="V70" s="65"/>
      <c r="W70" s="65"/>
      <c r="X70" s="65"/>
      <c r="Y70" s="65"/>
      <c r="Z70" s="65"/>
      <c r="AA70" s="65"/>
      <c r="AB70" s="65"/>
      <c r="AC70" s="65"/>
      <c r="AD70" s="65"/>
      <c r="AE70" s="65"/>
      <c r="AF70" s="65"/>
      <c r="AG70" s="61" t="s">
        <v>3598</v>
      </c>
      <c r="AH70" s="62" t="s">
        <v>3599</v>
      </c>
      <c r="AI70" s="62" t="s">
        <v>3600</v>
      </c>
      <c r="AJ70" s="62" t="s">
        <v>3601</v>
      </c>
      <c r="AK70" s="62" t="s">
        <v>3602</v>
      </c>
      <c r="AL70" s="62" t="s">
        <v>3603</v>
      </c>
      <c r="AM70" s="62" t="s">
        <v>3604</v>
      </c>
      <c r="AN70" s="62" t="s">
        <v>3605</v>
      </c>
      <c r="AO70" s="62" t="s">
        <v>3606</v>
      </c>
      <c r="AP70" s="62" t="s">
        <v>3607</v>
      </c>
      <c r="AQ70" s="62" t="s">
        <v>3608</v>
      </c>
      <c r="AR70" s="62" t="s">
        <v>3609</v>
      </c>
      <c r="AS70" s="62" t="s">
        <v>3610</v>
      </c>
      <c r="AT70" s="62" t="s">
        <v>3611</v>
      </c>
      <c r="AU70" s="62" t="s">
        <v>3612</v>
      </c>
      <c r="AV70" s="63" t="s">
        <v>3613</v>
      </c>
    </row>
    <row r="71" spans="1:48">
      <c r="A71" s="64"/>
      <c r="B71" s="64"/>
      <c r="C71" s="64"/>
      <c r="D71" s="64"/>
      <c r="E71" s="64"/>
      <c r="F71" s="64"/>
      <c r="G71" s="65"/>
      <c r="H71" s="65"/>
      <c r="I71" s="65"/>
      <c r="J71" s="65"/>
      <c r="K71" s="65"/>
      <c r="L71" s="65"/>
      <c r="M71" s="65"/>
      <c r="N71" s="65"/>
      <c r="O71" s="65"/>
      <c r="P71" s="65"/>
      <c r="Q71" s="65"/>
      <c r="R71" s="65"/>
      <c r="S71" s="65"/>
      <c r="T71" s="65"/>
      <c r="U71" s="65"/>
      <c r="V71" s="65"/>
      <c r="W71" s="65"/>
      <c r="X71" s="65"/>
      <c r="Y71" s="65"/>
      <c r="Z71" s="65"/>
      <c r="AA71" s="65"/>
      <c r="AB71" s="65"/>
      <c r="AC71" s="65"/>
      <c r="AD71" s="65"/>
      <c r="AE71" s="65"/>
      <c r="AF71" s="65"/>
      <c r="AG71" s="61"/>
      <c r="AH71" s="62"/>
      <c r="AI71" s="62"/>
      <c r="AJ71" s="62"/>
      <c r="AK71" s="62"/>
      <c r="AL71" s="62"/>
      <c r="AM71" s="62"/>
      <c r="AN71" s="62"/>
      <c r="AO71" s="62"/>
      <c r="AP71" s="62"/>
      <c r="AQ71" s="62"/>
      <c r="AR71" s="62"/>
      <c r="AS71" s="62"/>
      <c r="AT71" s="62"/>
      <c r="AU71" s="62"/>
      <c r="AV71" s="63"/>
    </row>
    <row r="72" spans="1:48">
      <c r="A72" s="64"/>
      <c r="B72" s="64"/>
      <c r="C72" s="64"/>
      <c r="D72" s="64"/>
      <c r="E72" s="64"/>
      <c r="F72" s="64"/>
      <c r="G72" s="65"/>
      <c r="H72" s="65"/>
      <c r="I72" s="65"/>
      <c r="J72" s="65"/>
      <c r="K72" s="65"/>
      <c r="L72" s="65"/>
      <c r="M72" s="65"/>
      <c r="N72" s="65"/>
      <c r="O72" s="65"/>
      <c r="P72" s="65"/>
      <c r="Q72" s="65"/>
      <c r="R72" s="65"/>
      <c r="S72" s="65"/>
      <c r="T72" s="65"/>
      <c r="U72" s="65"/>
      <c r="V72" s="65"/>
      <c r="W72" s="65"/>
      <c r="X72" s="65"/>
      <c r="Y72" s="65"/>
      <c r="Z72" s="65"/>
      <c r="AA72" s="65"/>
      <c r="AB72" s="65"/>
      <c r="AC72" s="65"/>
      <c r="AD72" s="65"/>
      <c r="AE72" s="65"/>
      <c r="AF72" s="65"/>
      <c r="AG72" s="61" t="s">
        <v>3614</v>
      </c>
      <c r="AH72" s="62" t="s">
        <v>3615</v>
      </c>
      <c r="AI72" s="62" t="s">
        <v>3616</v>
      </c>
      <c r="AJ72" s="62" t="s">
        <v>3617</v>
      </c>
      <c r="AK72" s="62" t="s">
        <v>3618</v>
      </c>
      <c r="AL72" s="62" t="s">
        <v>3619</v>
      </c>
      <c r="AM72" s="62" t="s">
        <v>3620</v>
      </c>
      <c r="AN72" s="62" t="s">
        <v>3621</v>
      </c>
      <c r="AO72" s="62" t="s">
        <v>3622</v>
      </c>
      <c r="AP72" s="62" t="s">
        <v>3623</v>
      </c>
      <c r="AQ72" s="62" t="s">
        <v>3624</v>
      </c>
      <c r="AR72" s="62" t="s">
        <v>3625</v>
      </c>
      <c r="AS72" s="62" t="s">
        <v>3626</v>
      </c>
      <c r="AT72" s="62" t="s">
        <v>3627</v>
      </c>
      <c r="AU72" s="62" t="s">
        <v>3628</v>
      </c>
      <c r="AV72" s="63" t="s">
        <v>3629</v>
      </c>
    </row>
    <row r="73" spans="1:48">
      <c r="A73" s="64"/>
      <c r="B73" s="64"/>
      <c r="C73" s="64"/>
      <c r="D73" s="64"/>
      <c r="E73" s="64"/>
      <c r="F73" s="64"/>
      <c r="G73" s="65"/>
      <c r="H73" s="65"/>
      <c r="I73" s="65"/>
      <c r="J73" s="65"/>
      <c r="K73" s="65"/>
      <c r="L73" s="65"/>
      <c r="M73" s="65"/>
      <c r="N73" s="65"/>
      <c r="O73" s="65"/>
      <c r="P73" s="65"/>
      <c r="Q73" s="65"/>
      <c r="R73" s="65"/>
      <c r="S73" s="65"/>
      <c r="T73" s="65"/>
      <c r="U73" s="65"/>
      <c r="V73" s="65"/>
      <c r="W73" s="65"/>
      <c r="X73" s="65"/>
      <c r="Y73" s="65"/>
      <c r="Z73" s="65"/>
      <c r="AA73" s="65"/>
      <c r="AB73" s="65"/>
      <c r="AC73" s="65"/>
      <c r="AD73" s="65"/>
      <c r="AE73" s="65"/>
      <c r="AF73" s="65"/>
      <c r="AG73" s="61" t="s">
        <v>3630</v>
      </c>
      <c r="AH73" s="62" t="s">
        <v>3631</v>
      </c>
      <c r="AI73" s="62" t="s">
        <v>3632</v>
      </c>
      <c r="AJ73" s="62" t="s">
        <v>3633</v>
      </c>
      <c r="AK73" s="62" t="s">
        <v>3634</v>
      </c>
      <c r="AL73" s="62" t="s">
        <v>3635</v>
      </c>
      <c r="AM73" s="62" t="s">
        <v>3636</v>
      </c>
      <c r="AN73" s="62" t="s">
        <v>3637</v>
      </c>
      <c r="AO73" s="62" t="s">
        <v>3638</v>
      </c>
      <c r="AP73" s="62" t="s">
        <v>3639</v>
      </c>
      <c r="AQ73" s="62" t="s">
        <v>3640</v>
      </c>
      <c r="AR73" s="62" t="s">
        <v>3641</v>
      </c>
      <c r="AS73" s="62" t="s">
        <v>3642</v>
      </c>
      <c r="AT73" s="62" t="s">
        <v>3643</v>
      </c>
      <c r="AU73" s="62" t="s">
        <v>3644</v>
      </c>
      <c r="AV73" s="63" t="s">
        <v>3645</v>
      </c>
    </row>
    <row r="74" spans="1:48">
      <c r="A74" s="64"/>
      <c r="B74" s="64"/>
      <c r="C74" s="64"/>
      <c r="D74" s="64"/>
      <c r="E74" s="64"/>
      <c r="F74" s="64"/>
      <c r="G74" s="65"/>
      <c r="H74" s="65"/>
      <c r="I74" s="65"/>
      <c r="J74" s="65"/>
      <c r="K74" s="65"/>
      <c r="L74" s="65"/>
      <c r="M74" s="65"/>
      <c r="N74" s="65"/>
      <c r="O74" s="65"/>
      <c r="P74" s="65"/>
      <c r="Q74" s="65"/>
      <c r="R74" s="65"/>
      <c r="S74" s="65"/>
      <c r="T74" s="65"/>
      <c r="U74" s="65"/>
      <c r="V74" s="65"/>
      <c r="W74" s="65"/>
      <c r="X74" s="65"/>
      <c r="Y74" s="65"/>
      <c r="Z74" s="65"/>
      <c r="AA74" s="65"/>
      <c r="AB74" s="65"/>
      <c r="AC74" s="65"/>
      <c r="AD74" s="65"/>
      <c r="AE74" s="65"/>
      <c r="AF74" s="65"/>
      <c r="AG74" s="61" t="s">
        <v>3646</v>
      </c>
      <c r="AH74" s="62" t="s">
        <v>3647</v>
      </c>
      <c r="AI74" s="62" t="s">
        <v>3648</v>
      </c>
      <c r="AJ74" s="62" t="s">
        <v>3649</v>
      </c>
      <c r="AK74" s="62" t="s">
        <v>3650</v>
      </c>
      <c r="AL74" s="62" t="s">
        <v>3651</v>
      </c>
      <c r="AM74" s="62" t="s">
        <v>3652</v>
      </c>
      <c r="AN74" s="62" t="s">
        <v>3653</v>
      </c>
      <c r="AO74" s="62" t="s">
        <v>3654</v>
      </c>
      <c r="AP74" s="62" t="s">
        <v>3655</v>
      </c>
      <c r="AQ74" s="62" t="s">
        <v>3656</v>
      </c>
      <c r="AR74" s="62" t="s">
        <v>3657</v>
      </c>
      <c r="AS74" s="62" t="s">
        <v>3658</v>
      </c>
      <c r="AT74" s="62" t="s">
        <v>3659</v>
      </c>
      <c r="AU74" s="62" t="s">
        <v>3660</v>
      </c>
      <c r="AV74" s="63" t="s">
        <v>3661</v>
      </c>
    </row>
    <row r="75" spans="1:48">
      <c r="A75" s="64"/>
      <c r="B75" s="64"/>
      <c r="C75" s="64"/>
      <c r="D75" s="64"/>
      <c r="E75" s="64"/>
      <c r="F75" s="64"/>
      <c r="G75" s="65"/>
      <c r="H75" s="65"/>
      <c r="I75" s="65"/>
      <c r="J75" s="65"/>
      <c r="K75" s="65"/>
      <c r="L75" s="65"/>
      <c r="M75" s="65"/>
      <c r="N75" s="65"/>
      <c r="O75" s="65"/>
      <c r="P75" s="65"/>
      <c r="Q75" s="65"/>
      <c r="R75" s="65"/>
      <c r="S75" s="65"/>
      <c r="T75" s="65"/>
      <c r="U75" s="65"/>
      <c r="V75" s="65"/>
      <c r="W75" s="65"/>
      <c r="X75" s="65"/>
      <c r="Y75" s="65"/>
      <c r="Z75" s="65"/>
      <c r="AA75" s="65"/>
      <c r="AB75" s="65"/>
      <c r="AC75" s="65"/>
      <c r="AD75" s="65"/>
      <c r="AE75" s="65"/>
      <c r="AF75" s="65"/>
      <c r="AG75" s="61" t="s">
        <v>3662</v>
      </c>
      <c r="AH75" s="62" t="s">
        <v>3663</v>
      </c>
      <c r="AI75" s="62" t="s">
        <v>3664</v>
      </c>
      <c r="AJ75" s="62" t="s">
        <v>3665</v>
      </c>
      <c r="AK75" s="62" t="s">
        <v>3666</v>
      </c>
      <c r="AL75" s="62" t="s">
        <v>3667</v>
      </c>
      <c r="AM75" s="62" t="s">
        <v>3668</v>
      </c>
      <c r="AN75" s="62" t="s">
        <v>3669</v>
      </c>
      <c r="AO75" s="62" t="s">
        <v>3670</v>
      </c>
      <c r="AP75" s="62" t="s">
        <v>3671</v>
      </c>
      <c r="AQ75" s="62" t="s">
        <v>3672</v>
      </c>
      <c r="AR75" s="62" t="s">
        <v>3673</v>
      </c>
      <c r="AS75" s="62" t="s">
        <v>3674</v>
      </c>
      <c r="AT75" s="62" t="s">
        <v>3675</v>
      </c>
      <c r="AU75" s="62" t="s">
        <v>3676</v>
      </c>
      <c r="AV75" s="63"/>
    </row>
    <row r="76" spans="1:48">
      <c r="A76" s="64"/>
      <c r="B76" s="64"/>
      <c r="C76" s="64"/>
      <c r="D76" s="64"/>
      <c r="E76" s="64"/>
      <c r="F76" s="64"/>
      <c r="G76" s="65"/>
      <c r="H76" s="65"/>
      <c r="I76" s="65"/>
      <c r="J76" s="65"/>
      <c r="K76" s="65"/>
      <c r="L76" s="65"/>
      <c r="M76" s="65"/>
      <c r="N76" s="65"/>
      <c r="O76" s="65"/>
      <c r="P76" s="65"/>
      <c r="Q76" s="65"/>
      <c r="R76" s="65"/>
      <c r="S76" s="65"/>
      <c r="T76" s="65"/>
      <c r="U76" s="65"/>
      <c r="V76" s="65"/>
      <c r="W76" s="65"/>
      <c r="X76" s="65"/>
      <c r="Y76" s="65"/>
      <c r="Z76" s="65"/>
      <c r="AA76" s="65"/>
      <c r="AB76" s="65"/>
      <c r="AC76" s="65"/>
      <c r="AD76" s="65"/>
      <c r="AE76" s="65"/>
      <c r="AF76" s="65"/>
      <c r="AG76" s="61"/>
      <c r="AH76" s="62" t="s">
        <v>3677</v>
      </c>
      <c r="AI76" s="62" t="s">
        <v>3678</v>
      </c>
      <c r="AJ76" s="62" t="s">
        <v>3679</v>
      </c>
      <c r="AK76" s="62" t="s">
        <v>3680</v>
      </c>
      <c r="AL76" s="62" t="s">
        <v>3681</v>
      </c>
      <c r="AM76" s="62" t="s">
        <v>3682</v>
      </c>
      <c r="AN76" s="62" t="s">
        <v>3683</v>
      </c>
      <c r="AO76" s="62" t="s">
        <v>3684</v>
      </c>
      <c r="AP76" s="62" t="s">
        <v>3685</v>
      </c>
      <c r="AQ76" s="62" t="s">
        <v>3686</v>
      </c>
      <c r="AR76" s="62" t="s">
        <v>3687</v>
      </c>
      <c r="AS76" s="62" t="s">
        <v>3688</v>
      </c>
      <c r="AT76" s="62" t="s">
        <v>3689</v>
      </c>
      <c r="AU76" s="62" t="s">
        <v>3690</v>
      </c>
      <c r="AV76" s="63" t="s">
        <v>3691</v>
      </c>
    </row>
    <row r="77" spans="1:48">
      <c r="A77" s="64"/>
      <c r="B77" s="64"/>
      <c r="C77" s="64"/>
      <c r="D77" s="64"/>
      <c r="E77" s="64"/>
      <c r="F77" s="64"/>
      <c r="G77" s="65"/>
      <c r="H77" s="65"/>
      <c r="I77" s="65"/>
      <c r="J77" s="65"/>
      <c r="K77" s="65"/>
      <c r="L77" s="65"/>
      <c r="M77" s="65"/>
      <c r="N77" s="65"/>
      <c r="O77" s="65"/>
      <c r="P77" s="65"/>
      <c r="Q77" s="65"/>
      <c r="R77" s="65"/>
      <c r="S77" s="65"/>
      <c r="T77" s="65"/>
      <c r="U77" s="65"/>
      <c r="V77" s="65"/>
      <c r="W77" s="65"/>
      <c r="X77" s="65"/>
      <c r="Y77" s="65"/>
      <c r="Z77" s="65"/>
      <c r="AA77" s="65"/>
      <c r="AB77" s="65"/>
      <c r="AC77" s="65"/>
      <c r="AD77" s="65"/>
      <c r="AE77" s="65"/>
      <c r="AF77" s="65"/>
      <c r="AG77" s="61" t="s">
        <v>3692</v>
      </c>
      <c r="AH77" s="62" t="s">
        <v>3693</v>
      </c>
      <c r="AI77" s="62" t="s">
        <v>3694</v>
      </c>
      <c r="AJ77" s="62" t="s">
        <v>3695</v>
      </c>
      <c r="AK77" s="62" t="s">
        <v>3696</v>
      </c>
      <c r="AL77" s="62" t="s">
        <v>3697</v>
      </c>
      <c r="AM77" s="62" t="s">
        <v>3698</v>
      </c>
      <c r="AN77" s="62" t="s">
        <v>3699</v>
      </c>
      <c r="AO77" s="62" t="s">
        <v>3700</v>
      </c>
      <c r="AP77" s="62" t="s">
        <v>3701</v>
      </c>
      <c r="AQ77" s="62" t="s">
        <v>3702</v>
      </c>
      <c r="AR77" s="62" t="s">
        <v>3703</v>
      </c>
      <c r="AS77" s="62" t="s">
        <v>3704</v>
      </c>
      <c r="AT77" s="62" t="s">
        <v>3705</v>
      </c>
      <c r="AU77" s="62" t="s">
        <v>3706</v>
      </c>
      <c r="AV77" s="63" t="s">
        <v>3707</v>
      </c>
    </row>
    <row r="78" spans="1:48">
      <c r="A78" s="64"/>
      <c r="B78" s="64"/>
      <c r="C78" s="64"/>
      <c r="D78" s="64"/>
      <c r="E78" s="64"/>
      <c r="F78" s="64"/>
      <c r="G78" s="65"/>
      <c r="H78" s="65"/>
      <c r="I78" s="65"/>
      <c r="J78" s="65"/>
      <c r="K78" s="65"/>
      <c r="L78" s="65"/>
      <c r="M78" s="65"/>
      <c r="N78" s="65"/>
      <c r="O78" s="65"/>
      <c r="P78" s="65"/>
      <c r="Q78" s="65"/>
      <c r="R78" s="65"/>
      <c r="S78" s="65"/>
      <c r="T78" s="65"/>
      <c r="U78" s="65"/>
      <c r="V78" s="65"/>
      <c r="W78" s="65"/>
      <c r="X78" s="65"/>
      <c r="Y78" s="65"/>
      <c r="Z78" s="65"/>
      <c r="AA78" s="65"/>
      <c r="AB78" s="65"/>
      <c r="AC78" s="65"/>
      <c r="AD78" s="65"/>
      <c r="AE78" s="65"/>
      <c r="AF78" s="65"/>
      <c r="AG78" s="61" t="s">
        <v>3708</v>
      </c>
      <c r="AH78" s="62" t="s">
        <v>3709</v>
      </c>
      <c r="AI78" s="62" t="s">
        <v>1832</v>
      </c>
      <c r="AJ78" s="62" t="s">
        <v>3710</v>
      </c>
      <c r="AK78" s="62" t="s">
        <v>3711</v>
      </c>
      <c r="AL78" s="62" t="s">
        <v>3712</v>
      </c>
      <c r="AM78" s="62" t="s">
        <v>3713</v>
      </c>
      <c r="AN78" s="62" t="s">
        <v>3714</v>
      </c>
      <c r="AO78" s="62" t="s">
        <v>3715</v>
      </c>
      <c r="AP78" s="62" t="s">
        <v>3716</v>
      </c>
      <c r="AQ78" s="62" t="s">
        <v>3717</v>
      </c>
      <c r="AR78" s="62" t="s">
        <v>3718</v>
      </c>
      <c r="AS78" s="62" t="s">
        <v>3719</v>
      </c>
      <c r="AT78" s="62" t="s">
        <v>3720</v>
      </c>
      <c r="AU78" s="62" t="s">
        <v>3721</v>
      </c>
      <c r="AV78" s="63" t="s">
        <v>3722</v>
      </c>
    </row>
    <row r="79" spans="1:48">
      <c r="A79" s="64"/>
      <c r="B79" s="64"/>
      <c r="C79" s="64"/>
      <c r="D79" s="64"/>
      <c r="E79" s="64"/>
      <c r="F79" s="64"/>
      <c r="G79" s="65"/>
      <c r="H79" s="65"/>
      <c r="I79" s="65"/>
      <c r="J79" s="65"/>
      <c r="K79" s="65"/>
      <c r="L79" s="65"/>
      <c r="M79" s="65"/>
      <c r="N79" s="65"/>
      <c r="O79" s="65"/>
      <c r="P79" s="65"/>
      <c r="Q79" s="65"/>
      <c r="R79" s="65"/>
      <c r="S79" s="65"/>
      <c r="T79" s="65"/>
      <c r="U79" s="65"/>
      <c r="V79" s="65"/>
      <c r="W79" s="65"/>
      <c r="X79" s="65"/>
      <c r="Y79" s="65"/>
      <c r="Z79" s="65"/>
      <c r="AA79" s="65"/>
      <c r="AB79" s="65"/>
      <c r="AC79" s="65"/>
      <c r="AD79" s="65"/>
      <c r="AE79" s="65"/>
      <c r="AF79" s="65"/>
      <c r="AG79" s="61" t="s">
        <v>3723</v>
      </c>
      <c r="AH79" s="62" t="s">
        <v>3724</v>
      </c>
      <c r="AI79" s="62" t="s">
        <v>3725</v>
      </c>
      <c r="AJ79" s="62" t="s">
        <v>3726</v>
      </c>
      <c r="AK79" s="62" t="s">
        <v>3727</v>
      </c>
      <c r="AL79" s="62" t="s">
        <v>3728</v>
      </c>
      <c r="AM79" s="62" t="s">
        <v>3729</v>
      </c>
      <c r="AN79" s="62" t="s">
        <v>3730</v>
      </c>
      <c r="AO79" s="62" t="s">
        <v>3731</v>
      </c>
      <c r="AP79" s="62" t="s">
        <v>3732</v>
      </c>
      <c r="AQ79" s="62" t="s">
        <v>3733</v>
      </c>
      <c r="AR79" s="62" t="s">
        <v>3734</v>
      </c>
      <c r="AS79" s="62" t="s">
        <v>3735</v>
      </c>
      <c r="AT79" s="62" t="s">
        <v>3736</v>
      </c>
      <c r="AU79" s="62" t="s">
        <v>3737</v>
      </c>
      <c r="AV79" s="63" t="s">
        <v>3738</v>
      </c>
    </row>
    <row r="80" spans="1:48">
      <c r="A80" s="64"/>
      <c r="B80" s="64"/>
      <c r="C80" s="64"/>
      <c r="D80" s="64"/>
      <c r="E80" s="64"/>
      <c r="F80" s="64"/>
      <c r="G80" s="65"/>
      <c r="H80" s="65"/>
      <c r="I80" s="65"/>
      <c r="J80" s="65"/>
      <c r="K80" s="65"/>
      <c r="L80" s="65"/>
      <c r="M80" s="65"/>
      <c r="N80" s="65"/>
      <c r="O80" s="65"/>
      <c r="P80" s="65"/>
      <c r="Q80" s="65"/>
      <c r="R80" s="65"/>
      <c r="S80" s="65"/>
      <c r="T80" s="65"/>
      <c r="U80" s="65"/>
      <c r="V80" s="65"/>
      <c r="W80" s="65"/>
      <c r="X80" s="65"/>
      <c r="Y80" s="65"/>
      <c r="Z80" s="65"/>
      <c r="AA80" s="65"/>
      <c r="AB80" s="65"/>
      <c r="AC80" s="65"/>
      <c r="AD80" s="65"/>
      <c r="AE80" s="65"/>
      <c r="AF80" s="65"/>
      <c r="AG80" s="61" t="s">
        <v>3739</v>
      </c>
      <c r="AH80" s="62" t="s">
        <v>3740</v>
      </c>
      <c r="AI80" s="62" t="s">
        <v>3741</v>
      </c>
      <c r="AJ80" s="62" t="s">
        <v>3742</v>
      </c>
      <c r="AK80" s="62" t="s">
        <v>3743</v>
      </c>
      <c r="AL80" s="62" t="s">
        <v>3744</v>
      </c>
      <c r="AM80" s="62" t="s">
        <v>3745</v>
      </c>
      <c r="AN80" s="62" t="s">
        <v>3746</v>
      </c>
      <c r="AO80" s="62" t="s">
        <v>3747</v>
      </c>
      <c r="AP80" s="62" t="s">
        <v>3748</v>
      </c>
      <c r="AQ80" s="62" t="s">
        <v>3749</v>
      </c>
      <c r="AR80" s="62" t="s">
        <v>3750</v>
      </c>
      <c r="AS80" s="62" t="s">
        <v>3751</v>
      </c>
      <c r="AT80" s="62" t="s">
        <v>3752</v>
      </c>
      <c r="AU80" s="62" t="s">
        <v>3753</v>
      </c>
      <c r="AV80" s="63" t="s">
        <v>3754</v>
      </c>
    </row>
    <row r="81" spans="1:48">
      <c r="A81" s="64"/>
      <c r="B81" s="64"/>
      <c r="C81" s="64"/>
      <c r="D81" s="64"/>
      <c r="E81" s="64"/>
      <c r="F81" s="64"/>
      <c r="G81" s="65"/>
      <c r="H81" s="65"/>
      <c r="I81" s="65"/>
      <c r="J81" s="65"/>
      <c r="K81" s="65"/>
      <c r="L81" s="65"/>
      <c r="M81" s="65"/>
      <c r="N81" s="65"/>
      <c r="O81" s="65"/>
      <c r="P81" s="65"/>
      <c r="Q81" s="65"/>
      <c r="R81" s="65"/>
      <c r="S81" s="65"/>
      <c r="T81" s="65"/>
      <c r="U81" s="65"/>
      <c r="V81" s="65"/>
      <c r="W81" s="65"/>
      <c r="X81" s="65"/>
      <c r="Y81" s="65"/>
      <c r="Z81" s="65"/>
      <c r="AA81" s="65"/>
      <c r="AB81" s="65"/>
      <c r="AC81" s="65"/>
      <c r="AD81" s="65"/>
      <c r="AE81" s="65"/>
      <c r="AF81" s="65"/>
      <c r="AG81" s="66" t="s">
        <v>3755</v>
      </c>
      <c r="AH81" s="67" t="s">
        <v>3756</v>
      </c>
      <c r="AI81" s="67" t="s">
        <v>3757</v>
      </c>
      <c r="AJ81" s="67" t="s">
        <v>3758</v>
      </c>
      <c r="AK81" s="67" t="s">
        <v>3759</v>
      </c>
      <c r="AL81" s="67" t="s">
        <v>3760</v>
      </c>
      <c r="AM81" s="67" t="s">
        <v>3761</v>
      </c>
      <c r="AN81" s="67" t="s">
        <v>3762</v>
      </c>
      <c r="AO81" s="67" t="s">
        <v>3763</v>
      </c>
      <c r="AP81" s="67" t="s">
        <v>3764</v>
      </c>
      <c r="AQ81" s="67" t="s">
        <v>3765</v>
      </c>
      <c r="AR81" s="67" t="s">
        <v>3766</v>
      </c>
      <c r="AS81" s="67" t="s">
        <v>3767</v>
      </c>
      <c r="AT81" s="67" t="s">
        <v>3768</v>
      </c>
      <c r="AU81" s="67" t="s">
        <v>3769</v>
      </c>
      <c r="AV81" s="68"/>
    </row>
    <row r="82" spans="1:48">
      <c r="A82" s="64"/>
      <c r="B82" s="64"/>
      <c r="C82" s="64"/>
      <c r="D82" s="64"/>
      <c r="E82" s="64"/>
      <c r="F82" s="64"/>
      <c r="G82" s="65"/>
      <c r="H82" s="65"/>
      <c r="I82" s="65"/>
      <c r="J82" s="65"/>
      <c r="K82" s="65"/>
      <c r="L82" s="65"/>
      <c r="M82" s="65"/>
      <c r="N82" s="65"/>
      <c r="O82" s="65"/>
      <c r="P82" s="65"/>
      <c r="Q82" s="65"/>
      <c r="R82" s="65"/>
      <c r="S82" s="65"/>
      <c r="T82" s="65"/>
      <c r="U82" s="65"/>
      <c r="V82" s="65"/>
      <c r="W82" s="65"/>
      <c r="X82" s="65"/>
      <c r="Y82" s="65"/>
      <c r="Z82" s="65"/>
      <c r="AA82" s="65"/>
      <c r="AB82" s="65"/>
      <c r="AC82" s="65"/>
      <c r="AD82" s="65"/>
      <c r="AE82" s="65"/>
      <c r="AF82" s="65"/>
      <c r="AG82" s="58"/>
      <c r="AH82" s="59" t="s">
        <v>3770</v>
      </c>
      <c r="AI82" s="59" t="s">
        <v>3771</v>
      </c>
      <c r="AJ82" s="59" t="s">
        <v>3772</v>
      </c>
      <c r="AK82" s="59" t="s">
        <v>3773</v>
      </c>
      <c r="AL82" s="59" t="s">
        <v>3774</v>
      </c>
      <c r="AM82" s="59" t="s">
        <v>3775</v>
      </c>
      <c r="AN82" s="59" t="s">
        <v>3776</v>
      </c>
      <c r="AO82" s="59" t="s">
        <v>3777</v>
      </c>
      <c r="AP82" s="59" t="s">
        <v>3778</v>
      </c>
      <c r="AQ82" s="59" t="s">
        <v>3779</v>
      </c>
      <c r="AR82" s="59" t="s">
        <v>3780</v>
      </c>
      <c r="AS82" s="59" t="s">
        <v>3781</v>
      </c>
      <c r="AT82" s="59" t="s">
        <v>3782</v>
      </c>
      <c r="AU82" s="59" t="s">
        <v>3783</v>
      </c>
      <c r="AV82" s="60" t="s">
        <v>3784</v>
      </c>
    </row>
    <row r="83" spans="1:48">
      <c r="A83" s="64"/>
      <c r="B83" s="64"/>
      <c r="C83" s="64"/>
      <c r="D83" s="64"/>
      <c r="E83" s="64"/>
      <c r="F83" s="64"/>
      <c r="G83" s="65"/>
      <c r="H83" s="65"/>
      <c r="I83" s="65"/>
      <c r="J83" s="65"/>
      <c r="K83" s="65"/>
      <c r="L83" s="65"/>
      <c r="M83" s="65"/>
      <c r="N83" s="65"/>
      <c r="O83" s="65"/>
      <c r="P83" s="65"/>
      <c r="Q83" s="65"/>
      <c r="R83" s="65"/>
      <c r="S83" s="65"/>
      <c r="T83" s="65"/>
      <c r="U83" s="65"/>
      <c r="V83" s="65"/>
      <c r="W83" s="65"/>
      <c r="X83" s="65"/>
      <c r="Y83" s="65"/>
      <c r="Z83" s="65"/>
      <c r="AA83" s="65"/>
      <c r="AB83" s="65"/>
      <c r="AC83" s="65"/>
      <c r="AD83" s="65"/>
      <c r="AE83" s="65"/>
      <c r="AF83" s="65"/>
      <c r="AG83" s="61" t="s">
        <v>3785</v>
      </c>
      <c r="AH83" s="62" t="s">
        <v>3786</v>
      </c>
      <c r="AI83" s="62" t="s">
        <v>3787</v>
      </c>
      <c r="AJ83" s="62" t="s">
        <v>3788</v>
      </c>
      <c r="AK83" s="62" t="s">
        <v>3789</v>
      </c>
      <c r="AL83" s="62" t="s">
        <v>3790</v>
      </c>
      <c r="AM83" s="62" t="s">
        <v>3791</v>
      </c>
      <c r="AN83" s="62" t="s">
        <v>3792</v>
      </c>
      <c r="AO83" s="62" t="s">
        <v>3793</v>
      </c>
      <c r="AP83" s="62" t="s">
        <v>3794</v>
      </c>
      <c r="AQ83" s="62" t="s">
        <v>3795</v>
      </c>
      <c r="AR83" s="62" t="s">
        <v>3796</v>
      </c>
      <c r="AS83" s="62" t="s">
        <v>3797</v>
      </c>
      <c r="AT83" s="62" t="s">
        <v>3798</v>
      </c>
      <c r="AU83" s="62" t="s">
        <v>3799</v>
      </c>
      <c r="AV83" s="63" t="s">
        <v>3800</v>
      </c>
    </row>
    <row r="84" spans="1:48">
      <c r="A84" s="64"/>
      <c r="B84" s="64"/>
      <c r="C84" s="64"/>
      <c r="D84" s="64"/>
      <c r="E84" s="64"/>
      <c r="F84" s="64"/>
      <c r="G84" s="65"/>
      <c r="H84" s="65"/>
      <c r="I84" s="65"/>
      <c r="J84" s="65"/>
      <c r="K84" s="65"/>
      <c r="L84" s="65"/>
      <c r="M84" s="65"/>
      <c r="N84" s="65"/>
      <c r="O84" s="65"/>
      <c r="P84" s="65"/>
      <c r="Q84" s="65"/>
      <c r="R84" s="65"/>
      <c r="S84" s="65"/>
      <c r="T84" s="65"/>
      <c r="U84" s="65"/>
      <c r="V84" s="65"/>
      <c r="W84" s="65"/>
      <c r="X84" s="65"/>
      <c r="Y84" s="65"/>
      <c r="Z84" s="65"/>
      <c r="AA84" s="65"/>
      <c r="AB84" s="65"/>
      <c r="AC84" s="65"/>
      <c r="AD84" s="65"/>
      <c r="AE84" s="65"/>
      <c r="AF84" s="65"/>
      <c r="AG84" s="61" t="s">
        <v>3801</v>
      </c>
      <c r="AH84" s="62" t="s">
        <v>3802</v>
      </c>
      <c r="AI84" s="62" t="s">
        <v>3803</v>
      </c>
      <c r="AJ84" s="62" t="s">
        <v>3804</v>
      </c>
      <c r="AK84" s="62" t="s">
        <v>3805</v>
      </c>
      <c r="AL84" s="62" t="s">
        <v>3806</v>
      </c>
      <c r="AM84" s="62" t="s">
        <v>3807</v>
      </c>
      <c r="AN84" s="62" t="s">
        <v>3808</v>
      </c>
      <c r="AO84" s="62" t="s">
        <v>3809</v>
      </c>
      <c r="AP84" s="62" t="s">
        <v>3810</v>
      </c>
      <c r="AQ84" s="62" t="s">
        <v>3811</v>
      </c>
      <c r="AR84" s="62" t="s">
        <v>3812</v>
      </c>
      <c r="AS84" s="62" t="s">
        <v>3813</v>
      </c>
      <c r="AT84" s="62" t="s">
        <v>3814</v>
      </c>
      <c r="AU84" s="62" t="s">
        <v>3815</v>
      </c>
      <c r="AV84" s="63" t="s">
        <v>3816</v>
      </c>
    </row>
    <row r="85" spans="1:48">
      <c r="A85" s="64"/>
      <c r="B85" s="64"/>
      <c r="C85" s="64"/>
      <c r="D85" s="64"/>
      <c r="E85" s="64"/>
      <c r="F85" s="64"/>
      <c r="G85" s="65"/>
      <c r="H85" s="65"/>
      <c r="I85" s="65"/>
      <c r="J85" s="65"/>
      <c r="K85" s="65"/>
      <c r="L85" s="65"/>
      <c r="M85" s="65"/>
      <c r="N85" s="65"/>
      <c r="O85" s="65"/>
      <c r="P85" s="65"/>
      <c r="Q85" s="65"/>
      <c r="R85" s="65"/>
      <c r="S85" s="65"/>
      <c r="T85" s="65"/>
      <c r="U85" s="65"/>
      <c r="V85" s="65"/>
      <c r="W85" s="65"/>
      <c r="X85" s="65"/>
      <c r="Y85" s="65"/>
      <c r="Z85" s="65"/>
      <c r="AA85" s="65"/>
      <c r="AB85" s="65"/>
      <c r="AC85" s="65"/>
      <c r="AD85" s="65"/>
      <c r="AE85" s="65"/>
      <c r="AF85" s="65"/>
      <c r="AG85" s="61" t="s">
        <v>3817</v>
      </c>
      <c r="AH85" s="62" t="s">
        <v>3818</v>
      </c>
      <c r="AI85" s="62" t="s">
        <v>3819</v>
      </c>
      <c r="AJ85" s="62" t="s">
        <v>3820</v>
      </c>
      <c r="AK85" s="62" t="s">
        <v>3821</v>
      </c>
      <c r="AL85" s="62" t="s">
        <v>3822</v>
      </c>
      <c r="AM85" s="62" t="s">
        <v>3823</v>
      </c>
      <c r="AN85" s="62" t="s">
        <v>3824</v>
      </c>
      <c r="AO85" s="62" t="s">
        <v>3825</v>
      </c>
      <c r="AP85" s="62" t="s">
        <v>3826</v>
      </c>
      <c r="AQ85" s="62" t="s">
        <v>3827</v>
      </c>
      <c r="AR85" s="62" t="s">
        <v>3828</v>
      </c>
      <c r="AS85" s="62" t="s">
        <v>3829</v>
      </c>
      <c r="AT85" s="62" t="s">
        <v>3830</v>
      </c>
      <c r="AU85" s="62" t="s">
        <v>3831</v>
      </c>
      <c r="AV85" s="63" t="s">
        <v>3832</v>
      </c>
    </row>
    <row r="86" spans="1:48">
      <c r="A86" s="64"/>
      <c r="B86" s="64"/>
      <c r="C86" s="64"/>
      <c r="D86" s="64"/>
      <c r="E86" s="64"/>
      <c r="F86" s="64"/>
      <c r="G86" s="65"/>
      <c r="H86" s="65"/>
      <c r="I86" s="65"/>
      <c r="J86" s="65"/>
      <c r="K86" s="65"/>
      <c r="L86" s="65"/>
      <c r="M86" s="65"/>
      <c r="N86" s="65"/>
      <c r="O86" s="65"/>
      <c r="P86" s="65"/>
      <c r="Q86" s="65"/>
      <c r="R86" s="65"/>
      <c r="S86" s="65"/>
      <c r="T86" s="65"/>
      <c r="U86" s="65"/>
      <c r="V86" s="65"/>
      <c r="W86" s="65"/>
      <c r="X86" s="65"/>
      <c r="Y86" s="65"/>
      <c r="Z86" s="65"/>
      <c r="AA86" s="65"/>
      <c r="AB86" s="65"/>
      <c r="AC86" s="65"/>
      <c r="AD86" s="65"/>
      <c r="AE86" s="65"/>
      <c r="AF86" s="65"/>
      <c r="AG86" s="61" t="s">
        <v>3833</v>
      </c>
      <c r="AH86" s="62" t="s">
        <v>3834</v>
      </c>
      <c r="AI86" s="62" t="s">
        <v>3835</v>
      </c>
      <c r="AJ86" s="62" t="s">
        <v>3836</v>
      </c>
      <c r="AK86" s="62" t="s">
        <v>3837</v>
      </c>
      <c r="AL86" s="62" t="s">
        <v>3838</v>
      </c>
      <c r="AM86" s="62" t="s">
        <v>3839</v>
      </c>
      <c r="AN86" s="62" t="s">
        <v>3840</v>
      </c>
      <c r="AO86" s="62" t="s">
        <v>3841</v>
      </c>
      <c r="AP86" s="62" t="s">
        <v>3842</v>
      </c>
      <c r="AQ86" s="62" t="s">
        <v>3843</v>
      </c>
      <c r="AR86" s="62" t="s">
        <v>3844</v>
      </c>
      <c r="AS86" s="62" t="s">
        <v>3845</v>
      </c>
      <c r="AT86" s="62" t="s">
        <v>3846</v>
      </c>
      <c r="AU86" s="62" t="s">
        <v>3847</v>
      </c>
      <c r="AV86" s="63" t="s">
        <v>3848</v>
      </c>
    </row>
    <row r="87" spans="1:48">
      <c r="A87" s="64"/>
      <c r="B87" s="64"/>
      <c r="C87" s="64"/>
      <c r="D87" s="64"/>
      <c r="E87" s="64"/>
      <c r="F87" s="64"/>
      <c r="G87" s="65"/>
      <c r="H87" s="65"/>
      <c r="I87" s="65"/>
      <c r="J87" s="65"/>
      <c r="K87" s="65"/>
      <c r="L87" s="65"/>
      <c r="M87" s="65"/>
      <c r="N87" s="65"/>
      <c r="O87" s="65"/>
      <c r="P87" s="65"/>
      <c r="Q87" s="65"/>
      <c r="R87" s="65"/>
      <c r="S87" s="65"/>
      <c r="T87" s="65"/>
      <c r="U87" s="65"/>
      <c r="V87" s="65"/>
      <c r="W87" s="65"/>
      <c r="X87" s="65"/>
      <c r="Y87" s="65"/>
      <c r="Z87" s="65"/>
      <c r="AA87" s="65"/>
      <c r="AB87" s="65"/>
      <c r="AC87" s="65"/>
      <c r="AD87" s="65"/>
      <c r="AE87" s="65"/>
      <c r="AF87" s="65"/>
      <c r="AG87" s="61"/>
      <c r="AH87" s="62"/>
      <c r="AI87" s="62"/>
      <c r="AJ87" s="62"/>
      <c r="AK87" s="62"/>
      <c r="AL87" s="62"/>
      <c r="AM87" s="62"/>
      <c r="AN87" s="62"/>
      <c r="AO87" s="62"/>
      <c r="AP87" s="62"/>
      <c r="AQ87" s="62"/>
      <c r="AR87" s="62"/>
      <c r="AS87" s="62"/>
      <c r="AT87" s="62"/>
      <c r="AU87" s="62"/>
      <c r="AV87" s="63"/>
    </row>
    <row r="88" spans="1:48">
      <c r="A88" s="64"/>
      <c r="B88" s="64"/>
      <c r="C88" s="64"/>
      <c r="D88" s="64"/>
      <c r="E88" s="64"/>
      <c r="F88" s="64"/>
      <c r="G88" s="65"/>
      <c r="H88" s="65"/>
      <c r="I88" s="65"/>
      <c r="J88" s="65"/>
      <c r="K88" s="65"/>
      <c r="L88" s="65"/>
      <c r="M88" s="65"/>
      <c r="N88" s="65"/>
      <c r="O88" s="65"/>
      <c r="P88" s="65"/>
      <c r="Q88" s="65"/>
      <c r="R88" s="65"/>
      <c r="S88" s="65"/>
      <c r="T88" s="65"/>
      <c r="U88" s="65"/>
      <c r="V88" s="65"/>
      <c r="W88" s="65"/>
      <c r="X88" s="65"/>
      <c r="Y88" s="65"/>
      <c r="Z88" s="65"/>
      <c r="AA88" s="65"/>
      <c r="AB88" s="65"/>
      <c r="AC88" s="65"/>
      <c r="AD88" s="65"/>
      <c r="AE88" s="65"/>
      <c r="AF88" s="65"/>
      <c r="AG88" s="61" t="s">
        <v>3849</v>
      </c>
      <c r="AH88" s="62" t="s">
        <v>3850</v>
      </c>
      <c r="AI88" s="62" t="s">
        <v>3851</v>
      </c>
      <c r="AJ88" s="62" t="s">
        <v>3852</v>
      </c>
      <c r="AK88" s="62" t="s">
        <v>3853</v>
      </c>
      <c r="AL88" s="62" t="s">
        <v>3854</v>
      </c>
      <c r="AM88" s="62" t="s">
        <v>3855</v>
      </c>
      <c r="AN88" s="62" t="s">
        <v>3856</v>
      </c>
      <c r="AO88" s="62" t="s">
        <v>3857</v>
      </c>
      <c r="AP88" s="62" t="s">
        <v>3858</v>
      </c>
      <c r="AQ88" s="62" t="s">
        <v>3859</v>
      </c>
      <c r="AR88" s="62" t="s">
        <v>3860</v>
      </c>
      <c r="AS88" s="62" t="s">
        <v>3861</v>
      </c>
      <c r="AT88" s="62" t="s">
        <v>3862</v>
      </c>
      <c r="AU88" s="62" t="s">
        <v>3863</v>
      </c>
      <c r="AV88" s="63"/>
    </row>
    <row r="89" spans="1:48">
      <c r="A89" s="64"/>
      <c r="B89" s="64"/>
      <c r="C89" s="64"/>
      <c r="D89" s="64"/>
      <c r="E89" s="64"/>
      <c r="F89" s="64"/>
      <c r="G89" s="65"/>
      <c r="H89" s="65"/>
      <c r="I89" s="65"/>
      <c r="J89" s="65"/>
      <c r="K89" s="65"/>
      <c r="L89" s="65"/>
      <c r="M89" s="65"/>
      <c r="N89" s="65"/>
      <c r="O89" s="65"/>
      <c r="P89" s="65"/>
      <c r="Q89" s="65"/>
      <c r="R89" s="65"/>
      <c r="S89" s="65"/>
      <c r="T89" s="65"/>
      <c r="U89" s="65"/>
      <c r="V89" s="65"/>
      <c r="W89" s="65"/>
      <c r="X89" s="65"/>
      <c r="Y89" s="65"/>
      <c r="Z89" s="65"/>
      <c r="AA89" s="65"/>
      <c r="AB89" s="65"/>
      <c r="AC89" s="65"/>
      <c r="AD89" s="65"/>
      <c r="AE89" s="65"/>
      <c r="AF89" s="65"/>
      <c r="AG89" s="61"/>
      <c r="AH89" s="62" t="s">
        <v>3864</v>
      </c>
      <c r="AI89" s="62" t="s">
        <v>3865</v>
      </c>
      <c r="AJ89" s="62" t="s">
        <v>3866</v>
      </c>
      <c r="AK89" s="62" t="s">
        <v>3867</v>
      </c>
      <c r="AL89" s="62" t="s">
        <v>3868</v>
      </c>
      <c r="AM89" s="62" t="s">
        <v>3869</v>
      </c>
      <c r="AN89" s="62" t="s">
        <v>3870</v>
      </c>
      <c r="AO89" s="62" t="s">
        <v>3871</v>
      </c>
      <c r="AP89" s="62" t="s">
        <v>3872</v>
      </c>
      <c r="AQ89" s="62" t="s">
        <v>3873</v>
      </c>
      <c r="AR89" s="62" t="s">
        <v>3874</v>
      </c>
      <c r="AS89" s="62" t="s">
        <v>3875</v>
      </c>
      <c r="AT89" s="62" t="s">
        <v>3876</v>
      </c>
      <c r="AU89" s="62" t="s">
        <v>3877</v>
      </c>
      <c r="AV89" s="63" t="s">
        <v>3878</v>
      </c>
    </row>
    <row r="90" spans="1:48">
      <c r="A90" s="64"/>
      <c r="B90" s="64"/>
      <c r="C90" s="64"/>
      <c r="D90" s="64"/>
      <c r="E90" s="64"/>
      <c r="F90" s="64"/>
      <c r="G90" s="65"/>
      <c r="H90" s="65"/>
      <c r="I90" s="65"/>
      <c r="J90" s="65"/>
      <c r="K90" s="65"/>
      <c r="L90" s="65"/>
      <c r="M90" s="65"/>
      <c r="N90" s="65"/>
      <c r="O90" s="65"/>
      <c r="P90" s="65"/>
      <c r="Q90" s="65"/>
      <c r="R90" s="65"/>
      <c r="S90" s="65"/>
      <c r="T90" s="65"/>
      <c r="U90" s="65"/>
      <c r="V90" s="65"/>
      <c r="W90" s="65"/>
      <c r="X90" s="65"/>
      <c r="Y90" s="65"/>
      <c r="Z90" s="65"/>
      <c r="AA90" s="65"/>
      <c r="AB90" s="65"/>
      <c r="AC90" s="65"/>
      <c r="AD90" s="65"/>
      <c r="AE90" s="65"/>
      <c r="AF90" s="65"/>
      <c r="AG90" s="61" t="s">
        <v>3879</v>
      </c>
      <c r="AH90" s="62" t="s">
        <v>3880</v>
      </c>
      <c r="AI90" s="62" t="s">
        <v>3881</v>
      </c>
      <c r="AJ90" s="62" t="s">
        <v>3882</v>
      </c>
      <c r="AK90" s="62" t="s">
        <v>3883</v>
      </c>
      <c r="AL90" s="62" t="s">
        <v>3884</v>
      </c>
      <c r="AM90" s="62" t="s">
        <v>3885</v>
      </c>
      <c r="AN90" s="62" t="s">
        <v>3886</v>
      </c>
      <c r="AO90" s="62" t="s">
        <v>3887</v>
      </c>
      <c r="AP90" s="62" t="s">
        <v>3888</v>
      </c>
      <c r="AQ90" s="62" t="s">
        <v>3889</v>
      </c>
      <c r="AR90" s="62" t="s">
        <v>3890</v>
      </c>
      <c r="AS90" s="62" t="s">
        <v>3891</v>
      </c>
      <c r="AT90" s="62" t="s">
        <v>3892</v>
      </c>
      <c r="AU90" s="62" t="s">
        <v>3893</v>
      </c>
      <c r="AV90" s="63" t="s">
        <v>3894</v>
      </c>
    </row>
    <row r="91" spans="1:48">
      <c r="A91" s="64"/>
      <c r="B91" s="64"/>
      <c r="C91" s="64"/>
      <c r="D91" s="64"/>
      <c r="E91" s="64"/>
      <c r="F91" s="64"/>
      <c r="G91" s="65"/>
      <c r="H91" s="65"/>
      <c r="I91" s="65"/>
      <c r="J91" s="65"/>
      <c r="K91" s="65"/>
      <c r="L91" s="65"/>
      <c r="M91" s="65"/>
      <c r="N91" s="65"/>
      <c r="O91" s="65"/>
      <c r="P91" s="65"/>
      <c r="Q91" s="65"/>
      <c r="R91" s="65"/>
      <c r="S91" s="65"/>
      <c r="T91" s="65"/>
      <c r="U91" s="65"/>
      <c r="V91" s="65"/>
      <c r="W91" s="65"/>
      <c r="X91" s="65"/>
      <c r="Y91" s="65"/>
      <c r="Z91" s="65"/>
      <c r="AA91" s="65"/>
      <c r="AB91" s="65"/>
      <c r="AC91" s="65"/>
      <c r="AD91" s="65"/>
      <c r="AE91" s="65"/>
      <c r="AF91" s="65"/>
      <c r="AG91" s="61" t="s">
        <v>3895</v>
      </c>
      <c r="AH91" s="62" t="s">
        <v>3896</v>
      </c>
      <c r="AI91" s="62" t="s">
        <v>3897</v>
      </c>
      <c r="AJ91" s="62" t="s">
        <v>3898</v>
      </c>
      <c r="AK91" s="62" t="s">
        <v>3899</v>
      </c>
      <c r="AL91" s="62" t="s">
        <v>3900</v>
      </c>
      <c r="AM91" s="62" t="s">
        <v>3901</v>
      </c>
      <c r="AN91" s="62" t="s">
        <v>3902</v>
      </c>
      <c r="AO91" s="62" t="s">
        <v>3903</v>
      </c>
      <c r="AP91" s="62" t="s">
        <v>3904</v>
      </c>
      <c r="AQ91" s="62" t="s">
        <v>3905</v>
      </c>
      <c r="AR91" s="62" t="s">
        <v>3906</v>
      </c>
      <c r="AS91" s="62" t="s">
        <v>3907</v>
      </c>
      <c r="AT91" s="62" t="s">
        <v>3908</v>
      </c>
      <c r="AU91" s="62" t="s">
        <v>3909</v>
      </c>
      <c r="AV91" s="63" t="s">
        <v>3910</v>
      </c>
    </row>
    <row r="92" spans="1:48">
      <c r="A92" s="64"/>
      <c r="B92" s="64"/>
      <c r="C92" s="64"/>
      <c r="D92" s="64"/>
      <c r="E92" s="64"/>
      <c r="F92" s="64"/>
      <c r="G92" s="65"/>
      <c r="H92" s="65"/>
      <c r="I92" s="65"/>
      <c r="J92" s="65"/>
      <c r="K92" s="65"/>
      <c r="L92" s="65"/>
      <c r="M92" s="65"/>
      <c r="N92" s="65"/>
      <c r="O92" s="65"/>
      <c r="P92" s="65"/>
      <c r="Q92" s="65"/>
      <c r="R92" s="65"/>
      <c r="S92" s="65"/>
      <c r="T92" s="65"/>
      <c r="U92" s="65"/>
      <c r="V92" s="65"/>
      <c r="W92" s="65"/>
      <c r="X92" s="65"/>
      <c r="Y92" s="65"/>
      <c r="Z92" s="65"/>
      <c r="AA92" s="65"/>
      <c r="AB92" s="65"/>
      <c r="AC92" s="65"/>
      <c r="AD92" s="65"/>
      <c r="AE92" s="65"/>
      <c r="AF92" s="65"/>
      <c r="AG92" s="61" t="s">
        <v>3911</v>
      </c>
      <c r="AH92" s="62" t="s">
        <v>3912</v>
      </c>
      <c r="AI92" s="62" t="s">
        <v>3913</v>
      </c>
      <c r="AJ92" s="62" t="s">
        <v>3914</v>
      </c>
      <c r="AK92" s="62" t="s">
        <v>3915</v>
      </c>
      <c r="AL92" s="62" t="s">
        <v>3916</v>
      </c>
      <c r="AM92" s="62" t="s">
        <v>3917</v>
      </c>
      <c r="AN92" s="62" t="s">
        <v>3918</v>
      </c>
      <c r="AO92" s="62" t="s">
        <v>3919</v>
      </c>
      <c r="AP92" s="62" t="s">
        <v>3920</v>
      </c>
      <c r="AQ92" s="62" t="s">
        <v>3921</v>
      </c>
      <c r="AR92" s="62" t="s">
        <v>3922</v>
      </c>
      <c r="AS92" s="62" t="s">
        <v>3923</v>
      </c>
      <c r="AT92" s="62" t="s">
        <v>3924</v>
      </c>
      <c r="AU92" s="62" t="s">
        <v>3925</v>
      </c>
      <c r="AV92" s="63" t="s">
        <v>1966</v>
      </c>
    </row>
    <row r="93" spans="1:48">
      <c r="A93" s="64"/>
      <c r="B93" s="64"/>
      <c r="C93" s="64"/>
      <c r="D93" s="64"/>
      <c r="E93" s="64"/>
      <c r="F93" s="64"/>
      <c r="G93" s="65"/>
      <c r="H93" s="65"/>
      <c r="I93" s="65"/>
      <c r="J93" s="65"/>
      <c r="K93" s="65"/>
      <c r="L93" s="65"/>
      <c r="M93" s="65"/>
      <c r="N93" s="65"/>
      <c r="O93" s="65"/>
      <c r="P93" s="65"/>
      <c r="Q93" s="65"/>
      <c r="R93" s="65"/>
      <c r="S93" s="65"/>
      <c r="T93" s="65"/>
      <c r="U93" s="65"/>
      <c r="V93" s="65"/>
      <c r="W93" s="65"/>
      <c r="X93" s="65"/>
      <c r="Y93" s="65"/>
      <c r="Z93" s="65"/>
      <c r="AA93" s="65"/>
      <c r="AB93" s="65"/>
      <c r="AC93" s="65"/>
      <c r="AD93" s="65"/>
      <c r="AE93" s="65"/>
      <c r="AF93" s="65"/>
      <c r="AG93" s="61" t="s">
        <v>3926</v>
      </c>
      <c r="AH93" s="62" t="s">
        <v>3927</v>
      </c>
      <c r="AI93" s="62" t="s">
        <v>3928</v>
      </c>
      <c r="AJ93" s="62" t="s">
        <v>3929</v>
      </c>
      <c r="AK93" s="62" t="s">
        <v>3930</v>
      </c>
      <c r="AL93" s="62" t="s">
        <v>3931</v>
      </c>
      <c r="AM93" s="62" t="s">
        <v>3932</v>
      </c>
      <c r="AN93" s="62" t="s">
        <v>3933</v>
      </c>
      <c r="AO93" s="62" t="s">
        <v>3934</v>
      </c>
      <c r="AP93" s="62" t="s">
        <v>3935</v>
      </c>
      <c r="AQ93" s="62" t="s">
        <v>3936</v>
      </c>
      <c r="AR93" s="62" t="s">
        <v>3937</v>
      </c>
      <c r="AS93" s="62" t="s">
        <v>3938</v>
      </c>
      <c r="AT93" s="62" t="s">
        <v>3939</v>
      </c>
      <c r="AU93" s="62" t="s">
        <v>3940</v>
      </c>
      <c r="AV93" s="63" t="s">
        <v>3941</v>
      </c>
    </row>
    <row r="94" spans="1:48">
      <c r="A94" s="64"/>
      <c r="B94" s="64"/>
      <c r="C94" s="64"/>
      <c r="D94" s="64"/>
      <c r="E94" s="64"/>
      <c r="F94" s="64"/>
      <c r="G94" s="65"/>
      <c r="H94" s="65"/>
      <c r="I94" s="65"/>
      <c r="J94" s="65"/>
      <c r="K94" s="65"/>
      <c r="L94" s="65"/>
      <c r="M94" s="65"/>
      <c r="N94" s="65"/>
      <c r="O94" s="65"/>
      <c r="P94" s="65"/>
      <c r="Q94" s="65"/>
      <c r="R94" s="65"/>
      <c r="S94" s="65"/>
      <c r="T94" s="65"/>
      <c r="U94" s="65"/>
      <c r="V94" s="65"/>
      <c r="W94" s="65"/>
      <c r="X94" s="65"/>
      <c r="Y94" s="65"/>
      <c r="Z94" s="65"/>
      <c r="AA94" s="65"/>
      <c r="AB94" s="65"/>
      <c r="AC94" s="65"/>
      <c r="AD94" s="65"/>
      <c r="AE94" s="65"/>
      <c r="AF94" s="65"/>
      <c r="AG94" s="61" t="s">
        <v>3942</v>
      </c>
      <c r="AH94" s="62" t="s">
        <v>3943</v>
      </c>
      <c r="AI94" s="62" t="s">
        <v>3944</v>
      </c>
      <c r="AJ94" s="62" t="s">
        <v>3945</v>
      </c>
      <c r="AK94" s="62" t="s">
        <v>3946</v>
      </c>
      <c r="AL94" s="62" t="s">
        <v>3947</v>
      </c>
      <c r="AM94" s="62" t="s">
        <v>3948</v>
      </c>
      <c r="AN94" s="62" t="s">
        <v>3949</v>
      </c>
      <c r="AO94" s="62" t="s">
        <v>3950</v>
      </c>
      <c r="AP94" s="62" t="s">
        <v>3951</v>
      </c>
      <c r="AQ94" s="62" t="s">
        <v>3952</v>
      </c>
      <c r="AR94" s="62" t="s">
        <v>3953</v>
      </c>
      <c r="AS94" s="62" t="s">
        <v>3954</v>
      </c>
      <c r="AT94" s="62" t="s">
        <v>3955</v>
      </c>
      <c r="AU94" s="62" t="s">
        <v>3956</v>
      </c>
      <c r="AV94" s="63"/>
    </row>
    <row r="95" spans="1:48">
      <c r="A95" s="64"/>
      <c r="B95" s="64"/>
      <c r="C95" s="64"/>
      <c r="D95" s="64"/>
      <c r="E95" s="64"/>
      <c r="F95" s="64"/>
      <c r="G95" s="65"/>
      <c r="H95" s="65"/>
      <c r="I95" s="65"/>
      <c r="J95" s="65"/>
      <c r="K95" s="65"/>
      <c r="L95" s="65"/>
      <c r="M95" s="65"/>
      <c r="N95" s="65"/>
      <c r="O95" s="65"/>
      <c r="P95" s="65"/>
      <c r="Q95" s="65"/>
      <c r="R95" s="65"/>
      <c r="S95" s="65"/>
      <c r="T95" s="65"/>
      <c r="U95" s="65"/>
      <c r="V95" s="65"/>
      <c r="W95" s="65"/>
      <c r="X95" s="65"/>
      <c r="Y95" s="65"/>
      <c r="Z95" s="65"/>
      <c r="AA95" s="65"/>
      <c r="AB95" s="65"/>
      <c r="AC95" s="65"/>
      <c r="AD95" s="65"/>
      <c r="AE95" s="65"/>
      <c r="AF95" s="65"/>
      <c r="AG95" s="61"/>
      <c r="AH95" s="62" t="s">
        <v>3957</v>
      </c>
      <c r="AI95" s="62" t="s">
        <v>3958</v>
      </c>
      <c r="AJ95" s="62" t="s">
        <v>3959</v>
      </c>
      <c r="AK95" s="62" t="s">
        <v>3960</v>
      </c>
      <c r="AL95" s="62" t="s">
        <v>3961</v>
      </c>
      <c r="AM95" s="62" t="s">
        <v>3962</v>
      </c>
      <c r="AN95" s="62" t="s">
        <v>3963</v>
      </c>
      <c r="AO95" s="62" t="s">
        <v>3964</v>
      </c>
      <c r="AP95" s="62" t="s">
        <v>3965</v>
      </c>
      <c r="AQ95" s="62" t="s">
        <v>3966</v>
      </c>
      <c r="AR95" s="62" t="s">
        <v>3967</v>
      </c>
      <c r="AS95" s="62" t="s">
        <v>3968</v>
      </c>
      <c r="AT95" s="62" t="s">
        <v>3969</v>
      </c>
      <c r="AU95" s="62" t="s">
        <v>3970</v>
      </c>
      <c r="AV95" s="63" t="s">
        <v>3971</v>
      </c>
    </row>
    <row r="96" spans="1:48">
      <c r="A96" s="64"/>
      <c r="B96" s="64"/>
      <c r="C96" s="64"/>
      <c r="D96" s="64"/>
      <c r="E96" s="64"/>
      <c r="F96" s="64"/>
      <c r="G96" s="65"/>
      <c r="H96" s="65"/>
      <c r="I96" s="65"/>
      <c r="J96" s="65"/>
      <c r="K96" s="65"/>
      <c r="L96" s="65"/>
      <c r="M96" s="65"/>
      <c r="N96" s="65"/>
      <c r="O96" s="65"/>
      <c r="P96" s="65"/>
      <c r="Q96" s="65"/>
      <c r="R96" s="65"/>
      <c r="S96" s="65"/>
      <c r="T96" s="65"/>
      <c r="U96" s="65"/>
      <c r="V96" s="65"/>
      <c r="W96" s="65"/>
      <c r="X96" s="65"/>
      <c r="Y96" s="65"/>
      <c r="Z96" s="65"/>
      <c r="AA96" s="65"/>
      <c r="AB96" s="65"/>
      <c r="AC96" s="65"/>
      <c r="AD96" s="65"/>
      <c r="AE96" s="65"/>
      <c r="AF96" s="65"/>
      <c r="AG96" s="61" t="s">
        <v>3972</v>
      </c>
      <c r="AH96" s="62" t="s">
        <v>3973</v>
      </c>
      <c r="AI96" s="62" t="s">
        <v>3974</v>
      </c>
      <c r="AJ96" s="62" t="s">
        <v>3975</v>
      </c>
      <c r="AK96" s="62" t="s">
        <v>3976</v>
      </c>
      <c r="AL96" s="62" t="s">
        <v>3977</v>
      </c>
      <c r="AM96" s="62" t="s">
        <v>3978</v>
      </c>
      <c r="AN96" s="62" t="s">
        <v>3979</v>
      </c>
      <c r="AO96" s="62" t="s">
        <v>3980</v>
      </c>
      <c r="AP96" s="62" t="s">
        <v>3981</v>
      </c>
      <c r="AQ96" s="62" t="s">
        <v>3982</v>
      </c>
      <c r="AR96" s="62" t="s">
        <v>3983</v>
      </c>
      <c r="AS96" s="62" t="s">
        <v>3984</v>
      </c>
      <c r="AT96" s="62" t="s">
        <v>3985</v>
      </c>
      <c r="AU96" s="62" t="s">
        <v>3986</v>
      </c>
      <c r="AV96" s="63" t="s">
        <v>3987</v>
      </c>
    </row>
    <row r="97" spans="1:48">
      <c r="A97" s="64"/>
      <c r="B97" s="64"/>
      <c r="C97" s="64"/>
      <c r="D97" s="64"/>
      <c r="E97" s="64"/>
      <c r="F97" s="64"/>
      <c r="G97" s="65"/>
      <c r="H97" s="65"/>
      <c r="I97" s="65"/>
      <c r="J97" s="65"/>
      <c r="K97" s="65"/>
      <c r="L97" s="65"/>
      <c r="M97" s="65"/>
      <c r="N97" s="65"/>
      <c r="O97" s="65"/>
      <c r="P97" s="65"/>
      <c r="Q97" s="65"/>
      <c r="R97" s="65"/>
      <c r="S97" s="65"/>
      <c r="T97" s="65"/>
      <c r="U97" s="65"/>
      <c r="V97" s="65"/>
      <c r="W97" s="65"/>
      <c r="X97" s="65"/>
      <c r="Y97" s="65"/>
      <c r="Z97" s="65"/>
      <c r="AA97" s="65"/>
      <c r="AB97" s="65"/>
      <c r="AC97" s="65"/>
      <c r="AD97" s="65"/>
      <c r="AE97" s="65"/>
      <c r="AF97" s="65"/>
      <c r="AG97" s="66" t="s">
        <v>3988</v>
      </c>
      <c r="AH97" s="67" t="s">
        <v>3989</v>
      </c>
      <c r="AI97" s="67" t="s">
        <v>3990</v>
      </c>
      <c r="AJ97" s="67" t="s">
        <v>3991</v>
      </c>
      <c r="AK97" s="67" t="s">
        <v>3992</v>
      </c>
      <c r="AL97" s="67" t="s">
        <v>3993</v>
      </c>
      <c r="AM97" s="67" t="s">
        <v>3994</v>
      </c>
      <c r="AN97" s="67" t="s">
        <v>3995</v>
      </c>
      <c r="AO97" s="67" t="s">
        <v>3996</v>
      </c>
      <c r="AP97" s="67" t="s">
        <v>3997</v>
      </c>
      <c r="AQ97" s="67" t="s">
        <v>3998</v>
      </c>
      <c r="AR97" s="67" t="s">
        <v>3999</v>
      </c>
      <c r="AS97" s="67" t="s">
        <v>4000</v>
      </c>
      <c r="AT97" s="67" t="s">
        <v>4001</v>
      </c>
      <c r="AU97" s="67" t="s">
        <v>4002</v>
      </c>
      <c r="AV97" s="68" t="s">
        <v>4003</v>
      </c>
    </row>
    <row r="98" spans="1:48">
      <c r="A98" s="64"/>
      <c r="B98" s="64"/>
      <c r="C98" s="64"/>
      <c r="D98" s="64"/>
      <c r="E98" s="64"/>
      <c r="F98" s="64"/>
      <c r="G98" s="65"/>
      <c r="H98" s="65"/>
      <c r="I98" s="65"/>
      <c r="J98" s="65"/>
      <c r="K98" s="65"/>
      <c r="L98" s="65"/>
      <c r="M98" s="65"/>
      <c r="N98" s="65"/>
      <c r="O98" s="65"/>
      <c r="P98" s="65"/>
      <c r="Q98" s="65"/>
      <c r="R98" s="65"/>
      <c r="S98" s="65"/>
      <c r="T98" s="65"/>
      <c r="U98" s="65"/>
      <c r="V98" s="65"/>
      <c r="W98" s="65"/>
      <c r="X98" s="65"/>
      <c r="Y98" s="65"/>
      <c r="Z98" s="65"/>
      <c r="AA98" s="65"/>
      <c r="AB98" s="65"/>
      <c r="AC98" s="65"/>
      <c r="AD98" s="65"/>
      <c r="AE98" s="65"/>
      <c r="AF98" s="65"/>
      <c r="AG98" s="58" t="s">
        <v>4004</v>
      </c>
      <c r="AH98" s="59" t="s">
        <v>4005</v>
      </c>
      <c r="AI98" s="59" t="s">
        <v>4006</v>
      </c>
      <c r="AJ98" s="59" t="s">
        <v>4007</v>
      </c>
      <c r="AK98" s="59" t="s">
        <v>4008</v>
      </c>
      <c r="AL98" s="59" t="s">
        <v>4009</v>
      </c>
      <c r="AM98" s="59" t="s">
        <v>4010</v>
      </c>
      <c r="AN98" s="59" t="s">
        <v>4011</v>
      </c>
      <c r="AO98" s="59" t="s">
        <v>4012</v>
      </c>
      <c r="AP98" s="59" t="s">
        <v>4013</v>
      </c>
      <c r="AQ98" s="59" t="s">
        <v>4014</v>
      </c>
      <c r="AR98" s="59" t="s">
        <v>4015</v>
      </c>
      <c r="AS98" s="59" t="s">
        <v>4016</v>
      </c>
      <c r="AT98" s="59" t="s">
        <v>4017</v>
      </c>
      <c r="AU98" s="59" t="s">
        <v>4018</v>
      </c>
      <c r="AV98" s="60" t="s">
        <v>4019</v>
      </c>
    </row>
    <row r="99" spans="1:48">
      <c r="A99" s="64"/>
      <c r="B99" s="64"/>
      <c r="C99" s="64"/>
      <c r="D99" s="64"/>
      <c r="E99" s="64"/>
      <c r="F99" s="64"/>
      <c r="G99" s="65"/>
      <c r="H99" s="65"/>
      <c r="I99" s="65"/>
      <c r="J99" s="65"/>
      <c r="K99" s="65"/>
      <c r="L99" s="65"/>
      <c r="M99" s="65"/>
      <c r="N99" s="65"/>
      <c r="O99" s="65"/>
      <c r="P99" s="65"/>
      <c r="Q99" s="65"/>
      <c r="R99" s="65"/>
      <c r="S99" s="65"/>
      <c r="T99" s="65"/>
      <c r="U99" s="65"/>
      <c r="V99" s="65"/>
      <c r="W99" s="65"/>
      <c r="X99" s="65"/>
      <c r="Y99" s="65"/>
      <c r="Z99" s="65"/>
      <c r="AA99" s="65"/>
      <c r="AB99" s="65"/>
      <c r="AC99" s="65"/>
      <c r="AD99" s="65"/>
      <c r="AE99" s="65"/>
      <c r="AF99" s="65"/>
      <c r="AG99" s="61" t="s">
        <v>4020</v>
      </c>
      <c r="AH99" s="62" t="s">
        <v>4021</v>
      </c>
      <c r="AI99" s="62" t="s">
        <v>4022</v>
      </c>
      <c r="AJ99" s="62" t="s">
        <v>4023</v>
      </c>
      <c r="AK99" s="62" t="s">
        <v>4024</v>
      </c>
      <c r="AL99" s="62" t="s">
        <v>4025</v>
      </c>
      <c r="AM99" s="62" t="s">
        <v>4026</v>
      </c>
      <c r="AN99" s="62" t="s">
        <v>4027</v>
      </c>
      <c r="AO99" s="62" t="s">
        <v>4028</v>
      </c>
      <c r="AP99" s="62" t="s">
        <v>4029</v>
      </c>
      <c r="AQ99" s="62" t="s">
        <v>4030</v>
      </c>
      <c r="AR99" s="62" t="s">
        <v>4031</v>
      </c>
      <c r="AS99" s="62" t="s">
        <v>4032</v>
      </c>
      <c r="AT99" s="62" t="s">
        <v>4033</v>
      </c>
      <c r="AU99" s="62" t="s">
        <v>4034</v>
      </c>
      <c r="AV99" s="63" t="s">
        <v>4035</v>
      </c>
    </row>
    <row r="100" spans="1:48">
      <c r="A100" s="64"/>
      <c r="B100" s="64"/>
      <c r="C100" s="64"/>
      <c r="D100" s="64"/>
      <c r="E100" s="64"/>
      <c r="F100" s="64"/>
      <c r="G100" s="65"/>
      <c r="H100" s="65"/>
      <c r="I100" s="65"/>
      <c r="J100" s="65"/>
      <c r="K100" s="65"/>
      <c r="L100" s="65"/>
      <c r="M100" s="65"/>
      <c r="N100" s="65"/>
      <c r="O100" s="65"/>
      <c r="P100" s="65"/>
      <c r="Q100" s="65"/>
      <c r="R100" s="65"/>
      <c r="S100" s="65"/>
      <c r="T100" s="65"/>
      <c r="U100" s="65"/>
      <c r="V100" s="65"/>
      <c r="W100" s="65"/>
      <c r="X100" s="65"/>
      <c r="Y100" s="65"/>
      <c r="Z100" s="65"/>
      <c r="AA100" s="65"/>
      <c r="AB100" s="65"/>
      <c r="AC100" s="65"/>
      <c r="AD100" s="65"/>
      <c r="AE100" s="65"/>
      <c r="AF100" s="65"/>
      <c r="AG100" s="61" t="s">
        <v>4036</v>
      </c>
      <c r="AH100" s="62" t="s">
        <v>4037</v>
      </c>
      <c r="AI100" s="62" t="s">
        <v>4038</v>
      </c>
      <c r="AJ100" s="62" t="s">
        <v>4039</v>
      </c>
      <c r="AK100" s="62" t="s">
        <v>4040</v>
      </c>
      <c r="AL100" s="62" t="s">
        <v>4041</v>
      </c>
      <c r="AM100" s="62" t="s">
        <v>4042</v>
      </c>
      <c r="AN100" s="62" t="s">
        <v>4043</v>
      </c>
      <c r="AO100" s="62" t="s">
        <v>4044</v>
      </c>
      <c r="AP100" s="62" t="s">
        <v>4045</v>
      </c>
      <c r="AQ100" s="62" t="s">
        <v>4046</v>
      </c>
      <c r="AR100" s="62" t="s">
        <v>4047</v>
      </c>
      <c r="AS100" s="62" t="s">
        <v>4048</v>
      </c>
      <c r="AT100" s="62" t="s">
        <v>4049</v>
      </c>
      <c r="AU100" s="62" t="s">
        <v>4050</v>
      </c>
      <c r="AV100" s="63" t="s">
        <v>4051</v>
      </c>
    </row>
    <row r="101" spans="1:48">
      <c r="A101" s="64"/>
      <c r="B101" s="64"/>
      <c r="C101" s="64"/>
      <c r="D101" s="64"/>
      <c r="E101" s="64"/>
      <c r="F101" s="64"/>
      <c r="G101" s="65"/>
      <c r="H101" s="65"/>
      <c r="I101" s="65"/>
      <c r="J101" s="65"/>
      <c r="K101" s="65"/>
      <c r="L101" s="65"/>
      <c r="M101" s="65"/>
      <c r="N101" s="65"/>
      <c r="O101" s="65"/>
      <c r="P101" s="65"/>
      <c r="Q101" s="65"/>
      <c r="R101" s="65"/>
      <c r="S101" s="65"/>
      <c r="T101" s="65"/>
      <c r="U101" s="65"/>
      <c r="V101" s="65"/>
      <c r="W101" s="65"/>
      <c r="X101" s="65"/>
      <c r="Y101" s="65"/>
      <c r="Z101" s="65"/>
      <c r="AA101" s="65"/>
      <c r="AB101" s="65"/>
      <c r="AC101" s="65"/>
      <c r="AD101" s="65"/>
      <c r="AE101" s="65"/>
      <c r="AF101" s="65"/>
      <c r="AG101" s="61" t="s">
        <v>4052</v>
      </c>
      <c r="AH101" s="62" t="s">
        <v>4053</v>
      </c>
      <c r="AI101" s="62" t="s">
        <v>4054</v>
      </c>
      <c r="AJ101" s="62" t="s">
        <v>4055</v>
      </c>
      <c r="AK101" s="62" t="s">
        <v>4056</v>
      </c>
      <c r="AL101" s="62" t="s">
        <v>4057</v>
      </c>
      <c r="AM101" s="62" t="s">
        <v>4058</v>
      </c>
      <c r="AN101" s="62" t="s">
        <v>4059</v>
      </c>
      <c r="AO101" s="62" t="s">
        <v>4060</v>
      </c>
      <c r="AP101" s="62" t="s">
        <v>4061</v>
      </c>
      <c r="AQ101" s="62" t="s">
        <v>4062</v>
      </c>
      <c r="AR101" s="62" t="s">
        <v>4063</v>
      </c>
      <c r="AS101" s="62" t="s">
        <v>4064</v>
      </c>
      <c r="AT101" s="62" t="s">
        <v>4065</v>
      </c>
      <c r="AU101" s="62" t="s">
        <v>4066</v>
      </c>
      <c r="AV101" s="63" t="s">
        <v>4067</v>
      </c>
    </row>
    <row r="102" spans="1:48">
      <c r="A102" s="64"/>
      <c r="B102" s="64"/>
      <c r="C102" s="64"/>
      <c r="D102" s="64"/>
      <c r="E102" s="64"/>
      <c r="F102" s="64"/>
      <c r="G102" s="65"/>
      <c r="H102" s="65"/>
      <c r="I102" s="65"/>
      <c r="J102" s="65"/>
      <c r="K102" s="65"/>
      <c r="L102" s="65"/>
      <c r="M102" s="65"/>
      <c r="N102" s="65"/>
      <c r="O102" s="65"/>
      <c r="P102" s="65"/>
      <c r="Q102" s="65"/>
      <c r="R102" s="65"/>
      <c r="S102" s="65"/>
      <c r="T102" s="65"/>
      <c r="U102" s="65"/>
      <c r="V102" s="65"/>
      <c r="W102" s="65"/>
      <c r="X102" s="65"/>
      <c r="Y102" s="65"/>
      <c r="Z102" s="65"/>
      <c r="AA102" s="65"/>
      <c r="AB102" s="65"/>
      <c r="AC102" s="65"/>
      <c r="AD102" s="65"/>
      <c r="AE102" s="65"/>
      <c r="AF102" s="65"/>
      <c r="AG102" s="61" t="s">
        <v>4068</v>
      </c>
      <c r="AH102" s="62" t="s">
        <v>4069</v>
      </c>
      <c r="AI102" s="62" t="s">
        <v>4070</v>
      </c>
      <c r="AJ102" s="62" t="s">
        <v>4071</v>
      </c>
      <c r="AK102" s="62" t="s">
        <v>4072</v>
      </c>
      <c r="AL102" s="62" t="s">
        <v>4073</v>
      </c>
      <c r="AM102" s="62" t="s">
        <v>4074</v>
      </c>
      <c r="AN102" s="62" t="s">
        <v>4075</v>
      </c>
      <c r="AO102" s="62" t="s">
        <v>4076</v>
      </c>
      <c r="AP102" s="62" t="s">
        <v>4077</v>
      </c>
      <c r="AQ102" s="62" t="s">
        <v>4078</v>
      </c>
      <c r="AR102" s="62" t="s">
        <v>4079</v>
      </c>
      <c r="AS102" s="62" t="s">
        <v>4080</v>
      </c>
      <c r="AT102" s="62" t="s">
        <v>4081</v>
      </c>
      <c r="AU102" s="62" t="s">
        <v>4082</v>
      </c>
      <c r="AV102" s="63" t="s">
        <v>4083</v>
      </c>
    </row>
    <row r="103" spans="1:48">
      <c r="A103" s="64"/>
      <c r="B103" s="64"/>
      <c r="C103" s="64"/>
      <c r="D103" s="64"/>
      <c r="E103" s="64"/>
      <c r="F103" s="64"/>
      <c r="G103" s="65"/>
      <c r="H103" s="65"/>
      <c r="I103" s="65"/>
      <c r="J103" s="65"/>
      <c r="K103" s="65"/>
      <c r="L103" s="65"/>
      <c r="M103" s="65"/>
      <c r="N103" s="65"/>
      <c r="O103" s="65"/>
      <c r="P103" s="65"/>
      <c r="Q103" s="65"/>
      <c r="R103" s="65"/>
      <c r="S103" s="65"/>
      <c r="T103" s="65"/>
      <c r="U103" s="65"/>
      <c r="V103" s="65"/>
      <c r="W103" s="65"/>
      <c r="X103" s="65"/>
      <c r="Y103" s="65"/>
      <c r="Z103" s="65"/>
      <c r="AA103" s="65"/>
      <c r="AB103" s="65"/>
      <c r="AC103" s="65"/>
      <c r="AD103" s="65"/>
      <c r="AE103" s="65"/>
      <c r="AF103" s="65"/>
      <c r="AG103" s="61"/>
      <c r="AH103" s="62"/>
      <c r="AI103" s="62"/>
      <c r="AJ103" s="62"/>
      <c r="AK103" s="62"/>
      <c r="AL103" s="62"/>
      <c r="AM103" s="62"/>
      <c r="AN103" s="62"/>
      <c r="AO103" s="62"/>
      <c r="AP103" s="62"/>
      <c r="AQ103" s="62"/>
      <c r="AR103" s="62"/>
      <c r="AS103" s="62"/>
      <c r="AT103" s="62"/>
      <c r="AU103" s="62"/>
      <c r="AV103" s="63"/>
    </row>
    <row r="104" spans="1:48">
      <c r="A104" s="64"/>
      <c r="B104" s="64"/>
      <c r="C104" s="64"/>
      <c r="D104" s="64"/>
      <c r="E104" s="64"/>
      <c r="F104" s="64"/>
      <c r="G104" s="65"/>
      <c r="H104" s="65"/>
      <c r="I104" s="65"/>
      <c r="J104" s="65"/>
      <c r="K104" s="65"/>
      <c r="L104" s="65"/>
      <c r="M104" s="65"/>
      <c r="N104" s="65"/>
      <c r="O104" s="65"/>
      <c r="P104" s="65"/>
      <c r="Q104" s="65"/>
      <c r="R104" s="65"/>
      <c r="S104" s="65"/>
      <c r="T104" s="65"/>
      <c r="U104" s="65"/>
      <c r="V104" s="65"/>
      <c r="W104" s="65"/>
      <c r="X104" s="65"/>
      <c r="Y104" s="65"/>
      <c r="Z104" s="65"/>
      <c r="AA104" s="65"/>
      <c r="AB104" s="65"/>
      <c r="AC104" s="65"/>
      <c r="AD104" s="65"/>
      <c r="AE104" s="65"/>
      <c r="AF104" s="65"/>
      <c r="AG104" s="61" t="s">
        <v>4084</v>
      </c>
      <c r="AH104" s="62" t="s">
        <v>4085</v>
      </c>
      <c r="AI104" s="62" t="s">
        <v>4086</v>
      </c>
      <c r="AJ104" s="62" t="s">
        <v>4087</v>
      </c>
      <c r="AK104" s="62" t="s">
        <v>4088</v>
      </c>
      <c r="AL104" s="62" t="s">
        <v>4089</v>
      </c>
      <c r="AM104" s="62" t="s">
        <v>4090</v>
      </c>
      <c r="AN104" s="62" t="s">
        <v>4091</v>
      </c>
      <c r="AO104" s="62" t="s">
        <v>4092</v>
      </c>
      <c r="AP104" s="62" t="s">
        <v>4093</v>
      </c>
      <c r="AQ104" s="62" t="s">
        <v>4094</v>
      </c>
      <c r="AR104" s="62" t="s">
        <v>4095</v>
      </c>
      <c r="AS104" s="62" t="s">
        <v>4096</v>
      </c>
      <c r="AT104" s="62" t="s">
        <v>4097</v>
      </c>
      <c r="AU104" s="62" t="s">
        <v>4098</v>
      </c>
      <c r="AV104" s="63" t="s">
        <v>4099</v>
      </c>
    </row>
    <row r="105" spans="1:48">
      <c r="A105" s="64"/>
      <c r="B105" s="64"/>
      <c r="C105" s="64"/>
      <c r="D105" s="64"/>
      <c r="E105" s="64"/>
      <c r="F105" s="64"/>
      <c r="G105" s="65"/>
      <c r="H105" s="65"/>
      <c r="I105" s="65"/>
      <c r="J105" s="65"/>
      <c r="K105" s="65"/>
      <c r="L105" s="65"/>
      <c r="M105" s="65"/>
      <c r="N105" s="65"/>
      <c r="O105" s="65"/>
      <c r="P105" s="65"/>
      <c r="Q105" s="65"/>
      <c r="R105" s="65"/>
      <c r="S105" s="65"/>
      <c r="T105" s="65"/>
      <c r="U105" s="65"/>
      <c r="V105" s="65"/>
      <c r="W105" s="65"/>
      <c r="X105" s="65"/>
      <c r="Y105" s="65"/>
      <c r="Z105" s="65"/>
      <c r="AA105" s="65"/>
      <c r="AB105" s="65"/>
      <c r="AC105" s="65"/>
      <c r="AD105" s="65"/>
      <c r="AE105" s="65"/>
      <c r="AF105" s="65"/>
      <c r="AG105" s="61" t="s">
        <v>4100</v>
      </c>
      <c r="AH105" s="62" t="s">
        <v>4101</v>
      </c>
      <c r="AI105" s="62" t="s">
        <v>4102</v>
      </c>
      <c r="AJ105" s="62" t="s">
        <v>4103</v>
      </c>
      <c r="AK105" s="62" t="s">
        <v>4104</v>
      </c>
      <c r="AL105" s="62" t="s">
        <v>4105</v>
      </c>
      <c r="AM105" s="62" t="s">
        <v>4106</v>
      </c>
      <c r="AN105" s="62" t="s">
        <v>4107</v>
      </c>
      <c r="AO105" s="62" t="s">
        <v>4108</v>
      </c>
      <c r="AP105" s="62" t="s">
        <v>4109</v>
      </c>
      <c r="AQ105" s="62" t="s">
        <v>4110</v>
      </c>
      <c r="AR105" s="62" t="s">
        <v>4111</v>
      </c>
      <c r="AS105" s="62" t="s">
        <v>4112</v>
      </c>
      <c r="AT105" s="62" t="s">
        <v>4113</v>
      </c>
      <c r="AU105" s="62" t="s">
        <v>4114</v>
      </c>
      <c r="AV105" s="63" t="s">
        <v>4115</v>
      </c>
    </row>
    <row r="106" spans="1:48">
      <c r="A106" s="64"/>
      <c r="B106" s="64"/>
      <c r="C106" s="64"/>
      <c r="D106" s="64"/>
      <c r="E106" s="64"/>
      <c r="F106" s="64"/>
      <c r="G106" s="65"/>
      <c r="H106" s="65"/>
      <c r="I106" s="65"/>
      <c r="J106" s="65"/>
      <c r="K106" s="65"/>
      <c r="L106" s="65"/>
      <c r="M106" s="65"/>
      <c r="N106" s="65"/>
      <c r="O106" s="65"/>
      <c r="P106" s="65"/>
      <c r="Q106" s="65"/>
      <c r="R106" s="65"/>
      <c r="S106" s="65"/>
      <c r="T106" s="65"/>
      <c r="U106" s="65"/>
      <c r="V106" s="65"/>
      <c r="W106" s="65"/>
      <c r="X106" s="65"/>
      <c r="Y106" s="65"/>
      <c r="Z106" s="65"/>
      <c r="AA106" s="65"/>
      <c r="AB106" s="65"/>
      <c r="AC106" s="65"/>
      <c r="AD106" s="65"/>
      <c r="AE106" s="65"/>
      <c r="AF106" s="65"/>
      <c r="AG106" s="61" t="s">
        <v>4116</v>
      </c>
      <c r="AH106" s="62" t="s">
        <v>4117</v>
      </c>
      <c r="AI106" s="62" t="s">
        <v>4118</v>
      </c>
      <c r="AJ106" s="62" t="s">
        <v>4119</v>
      </c>
      <c r="AK106" s="62" t="s">
        <v>4120</v>
      </c>
      <c r="AL106" s="62" t="s">
        <v>4121</v>
      </c>
      <c r="AM106" s="62" t="s">
        <v>4122</v>
      </c>
      <c r="AN106" s="62" t="s">
        <v>4123</v>
      </c>
      <c r="AO106" s="62" t="s">
        <v>4124</v>
      </c>
      <c r="AP106" s="62" t="s">
        <v>4125</v>
      </c>
      <c r="AQ106" s="62" t="s">
        <v>4126</v>
      </c>
      <c r="AR106" s="62" t="s">
        <v>4127</v>
      </c>
      <c r="AS106" s="62" t="s">
        <v>4128</v>
      </c>
      <c r="AT106" s="62" t="s">
        <v>4129</v>
      </c>
      <c r="AU106" s="62" t="s">
        <v>4130</v>
      </c>
      <c r="AV106" s="63" t="s">
        <v>4131</v>
      </c>
    </row>
    <row r="107" spans="1:48">
      <c r="A107" s="64"/>
      <c r="B107" s="64"/>
      <c r="C107" s="64"/>
      <c r="D107" s="64"/>
      <c r="E107" s="64"/>
      <c r="F107" s="64"/>
      <c r="G107" s="65"/>
      <c r="H107" s="65"/>
      <c r="I107" s="65"/>
      <c r="J107" s="65"/>
      <c r="K107" s="65"/>
      <c r="L107" s="65"/>
      <c r="M107" s="65"/>
      <c r="N107" s="65"/>
      <c r="O107" s="65"/>
      <c r="P107" s="65"/>
      <c r="Q107" s="65"/>
      <c r="R107" s="65"/>
      <c r="S107" s="65"/>
      <c r="T107" s="65"/>
      <c r="U107" s="65"/>
      <c r="V107" s="65"/>
      <c r="W107" s="65"/>
      <c r="X107" s="65"/>
      <c r="Y107" s="65"/>
      <c r="Z107" s="65"/>
      <c r="AA107" s="65"/>
      <c r="AB107" s="65"/>
      <c r="AC107" s="65"/>
      <c r="AD107" s="65"/>
      <c r="AE107" s="65"/>
      <c r="AF107" s="65"/>
      <c r="AG107" s="61" t="s">
        <v>4132</v>
      </c>
      <c r="AH107" s="62" t="s">
        <v>4133</v>
      </c>
      <c r="AI107" s="62" t="s">
        <v>4134</v>
      </c>
      <c r="AJ107" s="62" t="s">
        <v>4135</v>
      </c>
      <c r="AK107" s="62" t="s">
        <v>4136</v>
      </c>
      <c r="AL107" s="62" t="s">
        <v>4137</v>
      </c>
      <c r="AM107" s="62" t="s">
        <v>4138</v>
      </c>
      <c r="AN107" s="62" t="s">
        <v>4139</v>
      </c>
      <c r="AO107" s="62" t="s">
        <v>4140</v>
      </c>
      <c r="AP107" s="62" t="s">
        <v>4141</v>
      </c>
      <c r="AQ107" s="62" t="s">
        <v>4142</v>
      </c>
      <c r="AR107" s="62" t="s">
        <v>4143</v>
      </c>
      <c r="AS107" s="62" t="s">
        <v>4144</v>
      </c>
      <c r="AT107" s="62" t="s">
        <v>4145</v>
      </c>
      <c r="AU107" s="62" t="s">
        <v>4146</v>
      </c>
      <c r="AV107" s="63"/>
    </row>
    <row r="108" spans="1:48">
      <c r="A108" s="64"/>
      <c r="B108" s="64"/>
      <c r="C108" s="64"/>
      <c r="D108" s="64"/>
      <c r="E108" s="64"/>
      <c r="F108" s="64"/>
      <c r="G108" s="65"/>
      <c r="H108" s="65"/>
      <c r="I108" s="65"/>
      <c r="J108" s="65"/>
      <c r="K108" s="65"/>
      <c r="L108" s="65"/>
      <c r="M108" s="65"/>
      <c r="N108" s="65"/>
      <c r="O108" s="65"/>
      <c r="P108" s="65"/>
      <c r="Q108" s="65"/>
      <c r="R108" s="65"/>
      <c r="S108" s="65"/>
      <c r="T108" s="65"/>
      <c r="U108" s="65"/>
      <c r="V108" s="65"/>
      <c r="W108" s="65"/>
      <c r="X108" s="65"/>
      <c r="Y108" s="65"/>
      <c r="Z108" s="65"/>
      <c r="AA108" s="65"/>
      <c r="AB108" s="65"/>
      <c r="AC108" s="65"/>
      <c r="AD108" s="65"/>
      <c r="AE108" s="65"/>
      <c r="AF108" s="65"/>
      <c r="AG108" s="61" t="s">
        <v>4147</v>
      </c>
      <c r="AH108" s="62" t="s">
        <v>4148</v>
      </c>
      <c r="AI108" s="62" t="s">
        <v>4149</v>
      </c>
      <c r="AJ108" s="62" t="s">
        <v>4150</v>
      </c>
      <c r="AK108" s="62" t="s">
        <v>4151</v>
      </c>
      <c r="AL108" s="62" t="s">
        <v>4152</v>
      </c>
      <c r="AM108" s="62" t="s">
        <v>4153</v>
      </c>
      <c r="AN108" s="62" t="s">
        <v>4154</v>
      </c>
      <c r="AO108" s="62" t="s">
        <v>4155</v>
      </c>
      <c r="AP108" s="62" t="s">
        <v>4156</v>
      </c>
      <c r="AQ108" s="62" t="s">
        <v>4157</v>
      </c>
      <c r="AR108" s="62" t="s">
        <v>4158</v>
      </c>
      <c r="AS108" s="62" t="s">
        <v>4159</v>
      </c>
      <c r="AT108" s="62" t="s">
        <v>4160</v>
      </c>
      <c r="AU108" s="62" t="s">
        <v>4161</v>
      </c>
      <c r="AV108" s="63" t="s">
        <v>4162</v>
      </c>
    </row>
    <row r="109" spans="1:48">
      <c r="A109" s="64"/>
      <c r="B109" s="64"/>
      <c r="C109" s="64"/>
      <c r="D109" s="64"/>
      <c r="E109" s="64"/>
      <c r="F109" s="64"/>
      <c r="G109" s="65"/>
      <c r="H109" s="65"/>
      <c r="I109" s="65"/>
      <c r="J109" s="65"/>
      <c r="K109" s="65"/>
      <c r="L109" s="65"/>
      <c r="M109" s="65"/>
      <c r="N109" s="65"/>
      <c r="O109" s="65"/>
      <c r="P109" s="65"/>
      <c r="Q109" s="65"/>
      <c r="R109" s="65"/>
      <c r="S109" s="65"/>
      <c r="T109" s="65"/>
      <c r="U109" s="65"/>
      <c r="V109" s="65"/>
      <c r="W109" s="65"/>
      <c r="X109" s="65"/>
      <c r="Y109" s="65"/>
      <c r="Z109" s="65"/>
      <c r="AA109" s="65"/>
      <c r="AB109" s="65"/>
      <c r="AC109" s="65"/>
      <c r="AD109" s="65"/>
      <c r="AE109" s="65"/>
      <c r="AF109" s="65"/>
      <c r="AG109" s="61" t="s">
        <v>4163</v>
      </c>
      <c r="AH109" s="62" t="s">
        <v>4164</v>
      </c>
      <c r="AI109" s="62" t="s">
        <v>4165</v>
      </c>
      <c r="AJ109" s="62" t="s">
        <v>4166</v>
      </c>
      <c r="AK109" s="62" t="s">
        <v>4167</v>
      </c>
      <c r="AL109" s="62" t="s">
        <v>4168</v>
      </c>
      <c r="AM109" s="62" t="s">
        <v>4169</v>
      </c>
      <c r="AN109" s="62" t="s">
        <v>4170</v>
      </c>
      <c r="AO109" s="62" t="s">
        <v>4171</v>
      </c>
      <c r="AP109" s="62" t="s">
        <v>4172</v>
      </c>
      <c r="AQ109" s="62" t="s">
        <v>4173</v>
      </c>
      <c r="AR109" s="62" t="s">
        <v>4174</v>
      </c>
      <c r="AS109" s="62" t="s">
        <v>4175</v>
      </c>
      <c r="AT109" s="62" t="s">
        <v>4176</v>
      </c>
      <c r="AU109" s="62" t="s">
        <v>4177</v>
      </c>
      <c r="AV109" s="63" t="s">
        <v>4178</v>
      </c>
    </row>
    <row r="110" spans="1:48">
      <c r="A110" s="64"/>
      <c r="B110" s="64"/>
      <c r="C110" s="64"/>
      <c r="D110" s="64"/>
      <c r="E110" s="64"/>
      <c r="F110" s="64"/>
      <c r="G110" s="65"/>
      <c r="H110" s="65"/>
      <c r="I110" s="65"/>
      <c r="J110" s="65"/>
      <c r="K110" s="65"/>
      <c r="L110" s="65"/>
      <c r="M110" s="65"/>
      <c r="N110" s="65"/>
      <c r="O110" s="65"/>
      <c r="P110" s="65"/>
      <c r="Q110" s="65"/>
      <c r="R110" s="65"/>
      <c r="S110" s="65"/>
      <c r="T110" s="65"/>
      <c r="U110" s="65"/>
      <c r="V110" s="65"/>
      <c r="W110" s="65"/>
      <c r="X110" s="65"/>
      <c r="Y110" s="65"/>
      <c r="Z110" s="65"/>
      <c r="AA110" s="65"/>
      <c r="AB110" s="65"/>
      <c r="AC110" s="65"/>
      <c r="AD110" s="65"/>
      <c r="AE110" s="65"/>
      <c r="AF110" s="65"/>
      <c r="AG110" s="61" t="s">
        <v>4179</v>
      </c>
      <c r="AH110" s="62" t="s">
        <v>4180</v>
      </c>
      <c r="AI110" s="62" t="s">
        <v>4181</v>
      </c>
      <c r="AJ110" s="62" t="s">
        <v>4182</v>
      </c>
      <c r="AK110" s="62" t="s">
        <v>4183</v>
      </c>
      <c r="AL110" s="62" t="s">
        <v>4184</v>
      </c>
      <c r="AM110" s="62" t="s">
        <v>4185</v>
      </c>
      <c r="AN110" s="62" t="s">
        <v>4186</v>
      </c>
      <c r="AO110" s="62" t="s">
        <v>4187</v>
      </c>
      <c r="AP110" s="62" t="s">
        <v>4188</v>
      </c>
      <c r="AQ110" s="62" t="s">
        <v>4189</v>
      </c>
      <c r="AR110" s="62" t="s">
        <v>4190</v>
      </c>
      <c r="AS110" s="62" t="s">
        <v>4191</v>
      </c>
      <c r="AT110" s="62" t="s">
        <v>4192</v>
      </c>
      <c r="AU110" s="62" t="s">
        <v>4193</v>
      </c>
      <c r="AV110" s="63" t="s">
        <v>4194</v>
      </c>
    </row>
    <row r="111" spans="1:48">
      <c r="A111" s="64"/>
      <c r="B111" s="64"/>
      <c r="C111" s="64"/>
      <c r="D111" s="64"/>
      <c r="E111" s="64"/>
      <c r="F111" s="64"/>
      <c r="G111" s="65"/>
      <c r="H111" s="65"/>
      <c r="I111" s="65"/>
      <c r="J111" s="65"/>
      <c r="K111" s="65"/>
      <c r="L111" s="65"/>
      <c r="M111" s="65"/>
      <c r="N111" s="65"/>
      <c r="O111" s="65"/>
      <c r="P111" s="65"/>
      <c r="Q111" s="65"/>
      <c r="R111" s="65"/>
      <c r="S111" s="65"/>
      <c r="T111" s="65"/>
      <c r="U111" s="65"/>
      <c r="V111" s="65"/>
      <c r="W111" s="65"/>
      <c r="X111" s="65"/>
      <c r="Y111" s="65"/>
      <c r="Z111" s="65"/>
      <c r="AA111" s="65"/>
      <c r="AB111" s="65"/>
      <c r="AC111" s="65"/>
      <c r="AD111" s="65"/>
      <c r="AE111" s="65"/>
      <c r="AF111" s="65"/>
      <c r="AG111" s="61" t="s">
        <v>4195</v>
      </c>
      <c r="AH111" s="62" t="s">
        <v>4196</v>
      </c>
      <c r="AI111" s="62" t="s">
        <v>4197</v>
      </c>
      <c r="AJ111" s="62" t="s">
        <v>4198</v>
      </c>
      <c r="AK111" s="62" t="s">
        <v>4199</v>
      </c>
      <c r="AL111" s="62" t="s">
        <v>4200</v>
      </c>
      <c r="AM111" s="62" t="s">
        <v>4201</v>
      </c>
      <c r="AN111" s="62" t="s">
        <v>4202</v>
      </c>
      <c r="AO111" s="62" t="s">
        <v>4203</v>
      </c>
      <c r="AP111" s="62" t="s">
        <v>4204</v>
      </c>
      <c r="AQ111" s="62" t="s">
        <v>4205</v>
      </c>
      <c r="AR111" s="62" t="s">
        <v>4206</v>
      </c>
      <c r="AS111" s="62" t="s">
        <v>4207</v>
      </c>
      <c r="AT111" s="62" t="s">
        <v>4208</v>
      </c>
      <c r="AU111" s="62" t="s">
        <v>4209</v>
      </c>
      <c r="AV111" s="63" t="s">
        <v>4210</v>
      </c>
    </row>
    <row r="112" spans="1:48">
      <c r="A112" s="64"/>
      <c r="B112" s="64"/>
      <c r="C112" s="64"/>
      <c r="D112" s="64"/>
      <c r="E112" s="64"/>
      <c r="F112" s="64"/>
      <c r="G112" s="65"/>
      <c r="H112" s="65"/>
      <c r="I112" s="65"/>
      <c r="J112" s="65"/>
      <c r="K112" s="65"/>
      <c r="L112" s="65"/>
      <c r="M112" s="65"/>
      <c r="N112" s="65"/>
      <c r="O112" s="65"/>
      <c r="P112" s="65"/>
      <c r="Q112" s="65"/>
      <c r="R112" s="65"/>
      <c r="S112" s="65"/>
      <c r="T112" s="65"/>
      <c r="U112" s="65"/>
      <c r="V112" s="65"/>
      <c r="W112" s="65"/>
      <c r="X112" s="65"/>
      <c r="Y112" s="65"/>
      <c r="Z112" s="65"/>
      <c r="AA112" s="65"/>
      <c r="AB112" s="65"/>
      <c r="AC112" s="65"/>
      <c r="AD112" s="65"/>
      <c r="AE112" s="65"/>
      <c r="AF112" s="65"/>
      <c r="AG112" s="61" t="s">
        <v>4211</v>
      </c>
      <c r="AH112" s="62" t="s">
        <v>4212</v>
      </c>
      <c r="AI112" s="62" t="s">
        <v>4213</v>
      </c>
      <c r="AJ112" s="62" t="s">
        <v>4214</v>
      </c>
      <c r="AK112" s="62" t="s">
        <v>4215</v>
      </c>
      <c r="AL112" s="62" t="s">
        <v>4216</v>
      </c>
      <c r="AM112" s="62" t="s">
        <v>4217</v>
      </c>
      <c r="AN112" s="62" t="s">
        <v>4218</v>
      </c>
      <c r="AO112" s="62" t="s">
        <v>4219</v>
      </c>
      <c r="AP112" s="62" t="s">
        <v>4220</v>
      </c>
      <c r="AQ112" s="62" t="s">
        <v>4221</v>
      </c>
      <c r="AR112" s="62" t="s">
        <v>4222</v>
      </c>
      <c r="AS112" s="62" t="s">
        <v>4223</v>
      </c>
      <c r="AT112" s="62" t="s">
        <v>4224</v>
      </c>
      <c r="AU112" s="62" t="s">
        <v>4225</v>
      </c>
      <c r="AV112" s="63" t="s">
        <v>4226</v>
      </c>
    </row>
    <row r="113" spans="1:48">
      <c r="A113" s="64"/>
      <c r="B113" s="64"/>
      <c r="C113" s="64"/>
      <c r="D113" s="64"/>
      <c r="E113" s="64"/>
      <c r="F113" s="64"/>
      <c r="G113" s="65"/>
      <c r="H113" s="65"/>
      <c r="I113" s="65"/>
      <c r="J113" s="65"/>
      <c r="K113" s="65"/>
      <c r="L113" s="65"/>
      <c r="M113" s="65"/>
      <c r="N113" s="65"/>
      <c r="O113" s="65"/>
      <c r="P113" s="65"/>
      <c r="Q113" s="65"/>
      <c r="R113" s="65"/>
      <c r="S113" s="65"/>
      <c r="T113" s="65"/>
      <c r="U113" s="65"/>
      <c r="V113" s="65"/>
      <c r="W113" s="65"/>
      <c r="X113" s="65"/>
      <c r="Y113" s="65"/>
      <c r="Z113" s="65"/>
      <c r="AA113" s="65"/>
      <c r="AB113" s="65"/>
      <c r="AC113" s="65"/>
      <c r="AD113" s="65"/>
      <c r="AE113" s="65"/>
      <c r="AF113" s="65"/>
      <c r="AG113" s="66" t="s">
        <v>4227</v>
      </c>
      <c r="AH113" s="67" t="s">
        <v>4228</v>
      </c>
      <c r="AI113" s="67" t="s">
        <v>4229</v>
      </c>
      <c r="AJ113" s="67" t="s">
        <v>4230</v>
      </c>
      <c r="AK113" s="67" t="s">
        <v>4231</v>
      </c>
      <c r="AL113" s="67" t="s">
        <v>4232</v>
      </c>
      <c r="AM113" s="67" t="s">
        <v>4233</v>
      </c>
      <c r="AN113" s="67" t="s">
        <v>4234</v>
      </c>
      <c r="AO113" s="67" t="s">
        <v>4235</v>
      </c>
      <c r="AP113" s="67" t="s">
        <v>4236</v>
      </c>
      <c r="AQ113" s="67" t="s">
        <v>4237</v>
      </c>
      <c r="AR113" s="67" t="s">
        <v>4238</v>
      </c>
      <c r="AS113" s="67" t="s">
        <v>4239</v>
      </c>
      <c r="AT113" s="67" t="s">
        <v>4240</v>
      </c>
      <c r="AU113" s="67" t="s">
        <v>4241</v>
      </c>
      <c r="AV113" s="68"/>
    </row>
    <row r="114" spans="1:48">
      <c r="A114" s="64"/>
      <c r="B114" s="64"/>
      <c r="C114" s="64"/>
      <c r="D114" s="64"/>
      <c r="E114" s="64"/>
      <c r="F114" s="64"/>
      <c r="G114" s="65"/>
      <c r="H114" s="65"/>
      <c r="I114" s="65"/>
      <c r="J114" s="65"/>
      <c r="K114" s="65"/>
      <c r="L114" s="65"/>
      <c r="M114" s="65"/>
      <c r="N114" s="65"/>
      <c r="O114" s="65"/>
      <c r="P114" s="65"/>
      <c r="Q114" s="65"/>
      <c r="R114" s="65"/>
      <c r="S114" s="65"/>
      <c r="T114" s="65"/>
      <c r="U114" s="65"/>
      <c r="V114" s="65"/>
      <c r="W114" s="65"/>
      <c r="X114" s="65"/>
      <c r="Y114" s="65"/>
      <c r="Z114" s="65"/>
      <c r="AA114" s="65"/>
      <c r="AB114" s="65"/>
      <c r="AC114" s="65"/>
      <c r="AD114" s="65"/>
      <c r="AE114" s="65"/>
      <c r="AF114" s="65"/>
      <c r="AG114" s="58"/>
      <c r="AH114" s="59" t="s">
        <v>4242</v>
      </c>
      <c r="AI114" s="59" t="s">
        <v>4243</v>
      </c>
      <c r="AJ114" s="59" t="s">
        <v>4244</v>
      </c>
      <c r="AK114" s="59" t="s">
        <v>4245</v>
      </c>
      <c r="AL114" s="59" t="s">
        <v>4246</v>
      </c>
      <c r="AM114" s="59" t="s">
        <v>4247</v>
      </c>
      <c r="AN114" s="59" t="s">
        <v>4248</v>
      </c>
      <c r="AO114" s="59" t="s">
        <v>4249</v>
      </c>
      <c r="AP114" s="59" t="s">
        <v>4250</v>
      </c>
      <c r="AQ114" s="59" t="s">
        <v>4251</v>
      </c>
      <c r="AR114" s="59" t="s">
        <v>4252</v>
      </c>
      <c r="AS114" s="59" t="s">
        <v>4253</v>
      </c>
      <c r="AT114" s="59" t="s">
        <v>4254</v>
      </c>
      <c r="AU114" s="59" t="s">
        <v>4255</v>
      </c>
      <c r="AV114" s="60" t="s">
        <v>4256</v>
      </c>
    </row>
    <row r="115" spans="1:48">
      <c r="A115" s="64"/>
      <c r="B115" s="64"/>
      <c r="C115" s="64"/>
      <c r="D115" s="64"/>
      <c r="E115" s="64"/>
      <c r="F115" s="64"/>
      <c r="G115" s="65"/>
      <c r="H115" s="65"/>
      <c r="I115" s="65"/>
      <c r="J115" s="65"/>
      <c r="K115" s="65"/>
      <c r="L115" s="65"/>
      <c r="M115" s="65"/>
      <c r="N115" s="65"/>
      <c r="O115" s="65"/>
      <c r="P115" s="65"/>
      <c r="Q115" s="65"/>
      <c r="R115" s="65"/>
      <c r="S115" s="65"/>
      <c r="T115" s="65"/>
      <c r="U115" s="65"/>
      <c r="V115" s="65"/>
      <c r="W115" s="65"/>
      <c r="X115" s="65"/>
      <c r="Y115" s="65"/>
      <c r="Z115" s="65"/>
      <c r="AA115" s="65"/>
      <c r="AB115" s="65"/>
      <c r="AC115" s="65"/>
      <c r="AD115" s="65"/>
      <c r="AE115" s="65"/>
      <c r="AF115" s="65"/>
      <c r="AG115" s="61" t="s">
        <v>4257</v>
      </c>
      <c r="AH115" s="62" t="s">
        <v>4258</v>
      </c>
      <c r="AI115" s="62" t="s">
        <v>4259</v>
      </c>
      <c r="AJ115" s="62" t="s">
        <v>4260</v>
      </c>
      <c r="AK115" s="62" t="s">
        <v>4261</v>
      </c>
      <c r="AL115" s="62" t="s">
        <v>4262</v>
      </c>
      <c r="AM115" s="62" t="s">
        <v>4263</v>
      </c>
      <c r="AN115" s="62" t="s">
        <v>4264</v>
      </c>
      <c r="AO115" s="62" t="s">
        <v>4265</v>
      </c>
      <c r="AP115" s="62" t="s">
        <v>4266</v>
      </c>
      <c r="AQ115" s="62" t="s">
        <v>4267</v>
      </c>
      <c r="AR115" s="62" t="s">
        <v>4268</v>
      </c>
      <c r="AS115" s="62" t="s">
        <v>4269</v>
      </c>
      <c r="AT115" s="62" t="s">
        <v>4270</v>
      </c>
      <c r="AU115" s="62" t="s">
        <v>4271</v>
      </c>
      <c r="AV115" s="63" t="s">
        <v>4272</v>
      </c>
    </row>
    <row r="116" spans="1:48">
      <c r="A116" s="64"/>
      <c r="B116" s="64"/>
      <c r="C116" s="64"/>
      <c r="D116" s="64"/>
      <c r="E116" s="64"/>
      <c r="F116" s="64"/>
      <c r="G116" s="65"/>
      <c r="H116" s="65"/>
      <c r="I116" s="65"/>
      <c r="J116" s="65"/>
      <c r="K116" s="65"/>
      <c r="L116" s="65"/>
      <c r="M116" s="65"/>
      <c r="N116" s="65"/>
      <c r="O116" s="65"/>
      <c r="P116" s="65"/>
      <c r="Q116" s="65"/>
      <c r="R116" s="65"/>
      <c r="S116" s="65"/>
      <c r="T116" s="65"/>
      <c r="U116" s="65"/>
      <c r="V116" s="65"/>
      <c r="W116" s="65"/>
      <c r="X116" s="65"/>
      <c r="Y116" s="65"/>
      <c r="Z116" s="65"/>
      <c r="AA116" s="65"/>
      <c r="AB116" s="65"/>
      <c r="AC116" s="65"/>
      <c r="AD116" s="65"/>
      <c r="AE116" s="65"/>
      <c r="AF116" s="65"/>
      <c r="AG116" s="61" t="s">
        <v>4273</v>
      </c>
      <c r="AH116" s="62" t="s">
        <v>4274</v>
      </c>
      <c r="AI116" s="62" t="s">
        <v>4275</v>
      </c>
      <c r="AJ116" s="62" t="s">
        <v>4276</v>
      </c>
      <c r="AK116" s="62" t="s">
        <v>4277</v>
      </c>
      <c r="AL116" s="62" t="s">
        <v>4278</v>
      </c>
      <c r="AM116" s="62" t="s">
        <v>4279</v>
      </c>
      <c r="AN116" s="62" t="s">
        <v>4280</v>
      </c>
      <c r="AO116" s="62" t="s">
        <v>4281</v>
      </c>
      <c r="AP116" s="62" t="s">
        <v>4282</v>
      </c>
      <c r="AQ116" s="62" t="s">
        <v>4283</v>
      </c>
      <c r="AR116" s="62" t="s">
        <v>4284</v>
      </c>
      <c r="AS116" s="62" t="s">
        <v>4285</v>
      </c>
      <c r="AT116" s="62" t="s">
        <v>4286</v>
      </c>
      <c r="AU116" s="62" t="s">
        <v>4287</v>
      </c>
      <c r="AV116" s="63" t="s">
        <v>4288</v>
      </c>
    </row>
    <row r="117" spans="1:48">
      <c r="A117" s="64"/>
      <c r="B117" s="64"/>
      <c r="C117" s="64"/>
      <c r="D117" s="64"/>
      <c r="E117" s="64"/>
      <c r="F117" s="64"/>
      <c r="G117" s="65"/>
      <c r="H117" s="65"/>
      <c r="I117" s="65"/>
      <c r="J117" s="65"/>
      <c r="K117" s="65"/>
      <c r="L117" s="65"/>
      <c r="M117" s="65"/>
      <c r="N117" s="65"/>
      <c r="O117" s="65"/>
      <c r="P117" s="65"/>
      <c r="Q117" s="65"/>
      <c r="R117" s="65"/>
      <c r="S117" s="65"/>
      <c r="T117" s="65"/>
      <c r="U117" s="65"/>
      <c r="V117" s="65"/>
      <c r="W117" s="65"/>
      <c r="X117" s="65"/>
      <c r="Y117" s="65"/>
      <c r="Z117" s="65"/>
      <c r="AA117" s="65"/>
      <c r="AB117" s="65"/>
      <c r="AC117" s="65"/>
      <c r="AD117" s="65"/>
      <c r="AE117" s="65"/>
      <c r="AF117" s="65"/>
      <c r="AG117" s="61" t="s">
        <v>4289</v>
      </c>
      <c r="AH117" s="62" t="s">
        <v>4290</v>
      </c>
      <c r="AI117" s="62" t="s">
        <v>4291</v>
      </c>
      <c r="AJ117" s="62" t="s">
        <v>4292</v>
      </c>
      <c r="AK117" s="62" t="s">
        <v>4293</v>
      </c>
      <c r="AL117" s="62" t="s">
        <v>4294</v>
      </c>
      <c r="AM117" s="62" t="s">
        <v>4295</v>
      </c>
      <c r="AN117" s="62" t="s">
        <v>4296</v>
      </c>
      <c r="AO117" s="62" t="s">
        <v>4297</v>
      </c>
      <c r="AP117" s="62" t="s">
        <v>4298</v>
      </c>
      <c r="AQ117" s="62" t="s">
        <v>4299</v>
      </c>
      <c r="AR117" s="62" t="s">
        <v>4300</v>
      </c>
      <c r="AS117" s="62" t="s">
        <v>4301</v>
      </c>
      <c r="AT117" s="62" t="s">
        <v>4302</v>
      </c>
      <c r="AU117" s="62" t="s">
        <v>4303</v>
      </c>
      <c r="AV117" s="63" t="s">
        <v>4304</v>
      </c>
    </row>
    <row r="118" spans="1:48">
      <c r="A118" s="64"/>
      <c r="B118" s="64"/>
      <c r="C118" s="64"/>
      <c r="D118" s="64"/>
      <c r="E118" s="64"/>
      <c r="F118" s="64"/>
      <c r="G118" s="65"/>
      <c r="H118" s="65"/>
      <c r="I118" s="65"/>
      <c r="J118" s="65"/>
      <c r="K118" s="65"/>
      <c r="L118" s="65"/>
      <c r="M118" s="65"/>
      <c r="N118" s="65"/>
      <c r="O118" s="65"/>
      <c r="P118" s="65"/>
      <c r="Q118" s="65"/>
      <c r="R118" s="65"/>
      <c r="S118" s="65"/>
      <c r="T118" s="65"/>
      <c r="U118" s="65"/>
      <c r="V118" s="65"/>
      <c r="W118" s="65"/>
      <c r="X118" s="65"/>
      <c r="Y118" s="65"/>
      <c r="Z118" s="65"/>
      <c r="AA118" s="65"/>
      <c r="AB118" s="65"/>
      <c r="AC118" s="65"/>
      <c r="AD118" s="65"/>
      <c r="AE118" s="65"/>
      <c r="AF118" s="65"/>
      <c r="AG118" s="61" t="s">
        <v>4305</v>
      </c>
      <c r="AH118" s="62" t="s">
        <v>4306</v>
      </c>
      <c r="AI118" s="62" t="s">
        <v>4307</v>
      </c>
      <c r="AJ118" s="62" t="s">
        <v>4308</v>
      </c>
      <c r="AK118" s="62" t="s">
        <v>4309</v>
      </c>
      <c r="AL118" s="62" t="s">
        <v>4310</v>
      </c>
      <c r="AM118" s="62" t="s">
        <v>4311</v>
      </c>
      <c r="AN118" s="62" t="s">
        <v>4312</v>
      </c>
      <c r="AO118" s="62" t="s">
        <v>4313</v>
      </c>
      <c r="AP118" s="62" t="s">
        <v>4314</v>
      </c>
      <c r="AQ118" s="62" t="s">
        <v>4315</v>
      </c>
      <c r="AR118" s="62" t="s">
        <v>4316</v>
      </c>
      <c r="AS118" s="62" t="s">
        <v>4317</v>
      </c>
      <c r="AT118" s="62" t="s">
        <v>4318</v>
      </c>
      <c r="AU118" s="62" t="s">
        <v>4319</v>
      </c>
      <c r="AV118" s="63" t="s">
        <v>4320</v>
      </c>
    </row>
    <row r="119" spans="1:48">
      <c r="A119" s="64"/>
      <c r="B119" s="64"/>
      <c r="C119" s="64"/>
      <c r="D119" s="64"/>
      <c r="E119" s="64"/>
      <c r="F119" s="64"/>
      <c r="G119" s="65"/>
      <c r="H119" s="65"/>
      <c r="I119" s="65"/>
      <c r="J119" s="65"/>
      <c r="K119" s="65"/>
      <c r="L119" s="65"/>
      <c r="M119" s="65"/>
      <c r="N119" s="65"/>
      <c r="O119" s="65"/>
      <c r="P119" s="65"/>
      <c r="Q119" s="65"/>
      <c r="R119" s="65"/>
      <c r="S119" s="65"/>
      <c r="T119" s="65"/>
      <c r="U119" s="65"/>
      <c r="V119" s="65"/>
      <c r="W119" s="65"/>
      <c r="X119" s="65"/>
      <c r="Y119" s="65"/>
      <c r="Z119" s="65"/>
      <c r="AA119" s="65"/>
      <c r="AB119" s="65"/>
      <c r="AC119" s="65"/>
      <c r="AD119" s="65"/>
      <c r="AE119" s="65"/>
      <c r="AF119" s="65"/>
      <c r="AG119" s="61"/>
      <c r="AH119" s="62"/>
      <c r="AI119" s="62"/>
      <c r="AJ119" s="62"/>
      <c r="AK119" s="62"/>
      <c r="AL119" s="62"/>
      <c r="AM119" s="62"/>
      <c r="AN119" s="62"/>
      <c r="AO119" s="62"/>
      <c r="AP119" s="62"/>
      <c r="AQ119" s="62"/>
      <c r="AR119" s="62"/>
      <c r="AS119" s="62"/>
      <c r="AT119" s="62"/>
      <c r="AU119" s="62"/>
      <c r="AV119" s="63"/>
    </row>
    <row r="120" spans="1:48">
      <c r="A120" s="64"/>
      <c r="B120" s="64"/>
      <c r="C120" s="64"/>
      <c r="D120" s="64"/>
      <c r="E120" s="64"/>
      <c r="F120" s="64"/>
      <c r="G120" s="65"/>
      <c r="H120" s="65"/>
      <c r="I120" s="65"/>
      <c r="J120" s="65"/>
      <c r="K120" s="65"/>
      <c r="L120" s="65"/>
      <c r="M120" s="65"/>
      <c r="N120" s="65"/>
      <c r="O120" s="65"/>
      <c r="P120" s="65"/>
      <c r="Q120" s="65"/>
      <c r="R120" s="65"/>
      <c r="S120" s="65"/>
      <c r="T120" s="65"/>
      <c r="U120" s="65"/>
      <c r="V120" s="65"/>
      <c r="W120" s="65"/>
      <c r="X120" s="65"/>
      <c r="Y120" s="65"/>
      <c r="Z120" s="65"/>
      <c r="AA120" s="65"/>
      <c r="AB120" s="65"/>
      <c r="AC120" s="65"/>
      <c r="AD120" s="65"/>
      <c r="AE120" s="65"/>
      <c r="AF120" s="65"/>
      <c r="AG120" s="61" t="s">
        <v>4321</v>
      </c>
      <c r="AH120" s="62" t="s">
        <v>4322</v>
      </c>
      <c r="AI120" s="62" t="s">
        <v>4323</v>
      </c>
      <c r="AJ120" s="62" t="s">
        <v>4324</v>
      </c>
      <c r="AK120" s="62" t="s">
        <v>4325</v>
      </c>
      <c r="AL120" s="62" t="s">
        <v>4326</v>
      </c>
      <c r="AM120" s="62" t="s">
        <v>4327</v>
      </c>
      <c r="AN120" s="62" t="s">
        <v>4328</v>
      </c>
      <c r="AO120" s="62" t="s">
        <v>4329</v>
      </c>
      <c r="AP120" s="62" t="s">
        <v>4330</v>
      </c>
      <c r="AQ120" s="62" t="s">
        <v>4331</v>
      </c>
      <c r="AR120" s="62" t="s">
        <v>4332</v>
      </c>
      <c r="AS120" s="62" t="s">
        <v>4333</v>
      </c>
      <c r="AT120" s="62" t="s">
        <v>4334</v>
      </c>
      <c r="AU120" s="62" t="s">
        <v>4335</v>
      </c>
      <c r="AV120" s="63"/>
    </row>
    <row r="121" spans="1:48">
      <c r="A121" s="64"/>
      <c r="B121" s="64"/>
      <c r="C121" s="64"/>
      <c r="D121" s="64"/>
      <c r="E121" s="64"/>
      <c r="F121" s="64"/>
      <c r="G121" s="65"/>
      <c r="H121" s="65"/>
      <c r="I121" s="65"/>
      <c r="J121" s="65"/>
      <c r="K121" s="65"/>
      <c r="L121" s="65"/>
      <c r="M121" s="65"/>
      <c r="N121" s="65"/>
      <c r="O121" s="65"/>
      <c r="P121" s="65"/>
      <c r="Q121" s="65"/>
      <c r="R121" s="65"/>
      <c r="S121" s="65"/>
      <c r="T121" s="65"/>
      <c r="U121" s="65"/>
      <c r="V121" s="65"/>
      <c r="W121" s="65"/>
      <c r="X121" s="65"/>
      <c r="Y121" s="65"/>
      <c r="Z121" s="65"/>
      <c r="AA121" s="65"/>
      <c r="AB121" s="65"/>
      <c r="AC121" s="65"/>
      <c r="AD121" s="65"/>
      <c r="AE121" s="65"/>
      <c r="AF121" s="65"/>
      <c r="AG121" s="61"/>
      <c r="AH121" s="62" t="s">
        <v>4336</v>
      </c>
      <c r="AI121" s="62" t="s">
        <v>4337</v>
      </c>
      <c r="AJ121" s="62" t="s">
        <v>4338</v>
      </c>
      <c r="AK121" s="62" t="s">
        <v>4339</v>
      </c>
      <c r="AL121" s="62" t="s">
        <v>4340</v>
      </c>
      <c r="AM121" s="62" t="s">
        <v>4341</v>
      </c>
      <c r="AN121" s="62" t="s">
        <v>4342</v>
      </c>
      <c r="AO121" s="62" t="s">
        <v>4343</v>
      </c>
      <c r="AP121" s="62" t="s">
        <v>4344</v>
      </c>
      <c r="AQ121" s="62" t="s">
        <v>4345</v>
      </c>
      <c r="AR121" s="62" t="s">
        <v>4346</v>
      </c>
      <c r="AS121" s="62" t="s">
        <v>4347</v>
      </c>
      <c r="AT121" s="62" t="s">
        <v>4348</v>
      </c>
      <c r="AU121" s="62" t="s">
        <v>4349</v>
      </c>
      <c r="AV121" s="63" t="s">
        <v>4350</v>
      </c>
    </row>
    <row r="122" spans="1:48">
      <c r="A122" s="64"/>
      <c r="B122" s="64"/>
      <c r="C122" s="64"/>
      <c r="D122" s="64"/>
      <c r="E122" s="64"/>
      <c r="F122" s="64"/>
      <c r="G122" s="65"/>
      <c r="H122" s="65"/>
      <c r="I122" s="65"/>
      <c r="J122" s="65"/>
      <c r="K122" s="65"/>
      <c r="L122" s="65"/>
      <c r="M122" s="65"/>
      <c r="N122" s="65"/>
      <c r="O122" s="65"/>
      <c r="P122" s="65"/>
      <c r="Q122" s="65"/>
      <c r="R122" s="65"/>
      <c r="S122" s="65"/>
      <c r="T122" s="65"/>
      <c r="U122" s="65"/>
      <c r="V122" s="65"/>
      <c r="W122" s="65"/>
      <c r="X122" s="65"/>
      <c r="Y122" s="65"/>
      <c r="Z122" s="65"/>
      <c r="AA122" s="65"/>
      <c r="AB122" s="65"/>
      <c r="AC122" s="65"/>
      <c r="AD122" s="65"/>
      <c r="AE122" s="65"/>
      <c r="AF122" s="65"/>
      <c r="AG122" s="61" t="s">
        <v>4351</v>
      </c>
      <c r="AH122" s="62" t="s">
        <v>4352</v>
      </c>
      <c r="AI122" s="62" t="s">
        <v>4353</v>
      </c>
      <c r="AJ122" s="62" t="s">
        <v>4354</v>
      </c>
      <c r="AK122" s="62" t="s">
        <v>4355</v>
      </c>
      <c r="AL122" s="62" t="s">
        <v>4356</v>
      </c>
      <c r="AM122" s="62" t="s">
        <v>4357</v>
      </c>
      <c r="AN122" s="62" t="s">
        <v>4358</v>
      </c>
      <c r="AO122" s="62" t="s">
        <v>4359</v>
      </c>
      <c r="AP122" s="62" t="s">
        <v>4360</v>
      </c>
      <c r="AQ122" s="62" t="s">
        <v>624</v>
      </c>
      <c r="AR122" s="62" t="s">
        <v>4361</v>
      </c>
      <c r="AS122" s="62" t="s">
        <v>4362</v>
      </c>
      <c r="AT122" s="62" t="s">
        <v>4363</v>
      </c>
      <c r="AU122" s="62" t="s">
        <v>4364</v>
      </c>
      <c r="AV122" s="63" t="s">
        <v>4365</v>
      </c>
    </row>
    <row r="123" spans="1:48">
      <c r="A123" s="64"/>
      <c r="B123" s="64"/>
      <c r="C123" s="64"/>
      <c r="D123" s="64"/>
      <c r="E123" s="64"/>
      <c r="F123" s="64"/>
      <c r="G123" s="65"/>
      <c r="H123" s="65"/>
      <c r="I123" s="65"/>
      <c r="J123" s="65"/>
      <c r="K123" s="65"/>
      <c r="L123" s="65"/>
      <c r="M123" s="65"/>
      <c r="N123" s="65"/>
      <c r="O123" s="65"/>
      <c r="P123" s="65"/>
      <c r="Q123" s="65"/>
      <c r="R123" s="65"/>
      <c r="S123" s="65"/>
      <c r="T123" s="65"/>
      <c r="U123" s="65"/>
      <c r="V123" s="65"/>
      <c r="W123" s="65"/>
      <c r="X123" s="65"/>
      <c r="Y123" s="65"/>
      <c r="Z123" s="65"/>
      <c r="AA123" s="65"/>
      <c r="AB123" s="65"/>
      <c r="AC123" s="65"/>
      <c r="AD123" s="65"/>
      <c r="AE123" s="65"/>
      <c r="AF123" s="65"/>
      <c r="AG123" s="61" t="s">
        <v>4366</v>
      </c>
      <c r="AH123" s="62" t="s">
        <v>4367</v>
      </c>
      <c r="AI123" s="62" t="s">
        <v>4368</v>
      </c>
      <c r="AJ123" s="62" t="s">
        <v>4369</v>
      </c>
      <c r="AK123" s="62" t="s">
        <v>4370</v>
      </c>
      <c r="AL123" s="62" t="s">
        <v>4371</v>
      </c>
      <c r="AM123" s="62" t="s">
        <v>4372</v>
      </c>
      <c r="AN123" s="62" t="s">
        <v>4373</v>
      </c>
      <c r="AO123" s="62" t="s">
        <v>4374</v>
      </c>
      <c r="AP123" s="62" t="s">
        <v>4375</v>
      </c>
      <c r="AQ123" s="62" t="s">
        <v>4376</v>
      </c>
      <c r="AR123" s="62" t="s">
        <v>4377</v>
      </c>
      <c r="AS123" s="62" t="s">
        <v>4378</v>
      </c>
      <c r="AT123" s="62" t="s">
        <v>4379</v>
      </c>
      <c r="AU123" s="62" t="s">
        <v>4380</v>
      </c>
      <c r="AV123" s="63" t="s">
        <v>4381</v>
      </c>
    </row>
    <row r="124" spans="1:48">
      <c r="A124" s="64"/>
      <c r="B124" s="64"/>
      <c r="C124" s="64"/>
      <c r="D124" s="64"/>
      <c r="E124" s="64"/>
      <c r="F124" s="64"/>
      <c r="G124" s="65"/>
      <c r="H124" s="65"/>
      <c r="I124" s="65"/>
      <c r="J124" s="65"/>
      <c r="K124" s="65"/>
      <c r="L124" s="65"/>
      <c r="M124" s="65"/>
      <c r="N124" s="65"/>
      <c r="O124" s="65"/>
      <c r="P124" s="65"/>
      <c r="Q124" s="65"/>
      <c r="R124" s="65"/>
      <c r="S124" s="65"/>
      <c r="T124" s="65"/>
      <c r="U124" s="65"/>
      <c r="V124" s="65"/>
      <c r="W124" s="65"/>
      <c r="X124" s="65"/>
      <c r="Y124" s="65"/>
      <c r="Z124" s="65"/>
      <c r="AA124" s="65"/>
      <c r="AB124" s="65"/>
      <c r="AC124" s="65"/>
      <c r="AD124" s="65"/>
      <c r="AE124" s="65"/>
      <c r="AF124" s="65"/>
      <c r="AG124" s="61" t="s">
        <v>4382</v>
      </c>
      <c r="AH124" s="62" t="s">
        <v>4383</v>
      </c>
      <c r="AI124" s="62" t="s">
        <v>4384</v>
      </c>
      <c r="AJ124" s="62" t="s">
        <v>4385</v>
      </c>
      <c r="AK124" s="62" t="s">
        <v>4386</v>
      </c>
      <c r="AL124" s="62" t="s">
        <v>4387</v>
      </c>
      <c r="AM124" s="62" t="s">
        <v>4388</v>
      </c>
      <c r="AN124" s="62" t="s">
        <v>4389</v>
      </c>
      <c r="AO124" s="62" t="s">
        <v>4390</v>
      </c>
      <c r="AP124" s="62" t="s">
        <v>4391</v>
      </c>
      <c r="AQ124" s="62" t="s">
        <v>4392</v>
      </c>
      <c r="AR124" s="62" t="s">
        <v>4393</v>
      </c>
      <c r="AS124" s="62" t="s">
        <v>4394</v>
      </c>
      <c r="AT124" s="62" t="s">
        <v>4395</v>
      </c>
      <c r="AU124" s="62" t="s">
        <v>4396</v>
      </c>
      <c r="AV124" s="63" t="s">
        <v>4397</v>
      </c>
    </row>
    <row r="125" spans="1:48">
      <c r="A125" s="64"/>
      <c r="B125" s="64"/>
      <c r="C125" s="64"/>
      <c r="D125" s="64"/>
      <c r="E125" s="64"/>
      <c r="F125" s="64"/>
      <c r="G125" s="65"/>
      <c r="H125" s="65"/>
      <c r="I125" s="65"/>
      <c r="J125" s="65"/>
      <c r="K125" s="65"/>
      <c r="L125" s="65"/>
      <c r="M125" s="65"/>
      <c r="N125" s="65"/>
      <c r="O125" s="65"/>
      <c r="P125" s="65"/>
      <c r="Q125" s="65"/>
      <c r="R125" s="65"/>
      <c r="S125" s="65"/>
      <c r="T125" s="65"/>
      <c r="U125" s="65"/>
      <c r="V125" s="65"/>
      <c r="W125" s="65"/>
      <c r="X125" s="65"/>
      <c r="Y125" s="65"/>
      <c r="Z125" s="65"/>
      <c r="AA125" s="65"/>
      <c r="AB125" s="65"/>
      <c r="AC125" s="65"/>
      <c r="AD125" s="65"/>
      <c r="AE125" s="65"/>
      <c r="AF125" s="65"/>
      <c r="AG125" s="61" t="s">
        <v>4398</v>
      </c>
      <c r="AH125" s="62" t="s">
        <v>4399</v>
      </c>
      <c r="AI125" s="62" t="s">
        <v>4400</v>
      </c>
      <c r="AJ125" s="62" t="s">
        <v>4401</v>
      </c>
      <c r="AK125" s="62" t="s">
        <v>4402</v>
      </c>
      <c r="AL125" s="62" t="s">
        <v>4403</v>
      </c>
      <c r="AM125" s="62" t="s">
        <v>4404</v>
      </c>
      <c r="AN125" s="62" t="s">
        <v>4405</v>
      </c>
      <c r="AO125" s="62" t="s">
        <v>4406</v>
      </c>
      <c r="AP125" s="62" t="s">
        <v>4407</v>
      </c>
      <c r="AQ125" s="62" t="s">
        <v>4408</v>
      </c>
      <c r="AR125" s="62" t="s">
        <v>4409</v>
      </c>
      <c r="AS125" s="62" t="s">
        <v>4410</v>
      </c>
      <c r="AT125" s="62" t="s">
        <v>4411</v>
      </c>
      <c r="AU125" s="62" t="s">
        <v>4412</v>
      </c>
      <c r="AV125" s="63" t="s">
        <v>4413</v>
      </c>
    </row>
    <row r="126" spans="1:48">
      <c r="A126" s="64"/>
      <c r="B126" s="64"/>
      <c r="C126" s="64"/>
      <c r="D126" s="64"/>
      <c r="E126" s="64"/>
      <c r="F126" s="64"/>
      <c r="G126" s="65"/>
      <c r="H126" s="65"/>
      <c r="I126" s="65"/>
      <c r="J126" s="65"/>
      <c r="K126" s="65"/>
      <c r="L126" s="65"/>
      <c r="M126" s="65"/>
      <c r="N126" s="65"/>
      <c r="O126" s="65"/>
      <c r="P126" s="65"/>
      <c r="Q126" s="65"/>
      <c r="R126" s="65"/>
      <c r="S126" s="65"/>
      <c r="T126" s="65"/>
      <c r="U126" s="65"/>
      <c r="V126" s="65"/>
      <c r="W126" s="65"/>
      <c r="X126" s="65"/>
      <c r="Y126" s="65"/>
      <c r="Z126" s="65"/>
      <c r="AA126" s="65"/>
      <c r="AB126" s="65"/>
      <c r="AC126" s="65"/>
      <c r="AD126" s="65"/>
      <c r="AE126" s="65"/>
      <c r="AF126" s="65"/>
      <c r="AG126" s="61" t="s">
        <v>4414</v>
      </c>
      <c r="AH126" s="62" t="s">
        <v>4415</v>
      </c>
      <c r="AI126" s="62" t="s">
        <v>4416</v>
      </c>
      <c r="AJ126" s="62" t="s">
        <v>4417</v>
      </c>
      <c r="AK126" s="62" t="s">
        <v>4418</v>
      </c>
      <c r="AL126" s="62" t="s">
        <v>4419</v>
      </c>
      <c r="AM126" s="62" t="s">
        <v>4420</v>
      </c>
      <c r="AN126" s="62" t="s">
        <v>4421</v>
      </c>
      <c r="AO126" s="62" t="s">
        <v>4422</v>
      </c>
      <c r="AP126" s="62" t="s">
        <v>4423</v>
      </c>
      <c r="AQ126" s="62" t="s">
        <v>4424</v>
      </c>
      <c r="AR126" s="62" t="s">
        <v>4425</v>
      </c>
      <c r="AS126" s="62" t="s">
        <v>4426</v>
      </c>
      <c r="AT126" s="62" t="s">
        <v>4427</v>
      </c>
      <c r="AU126" s="62" t="s">
        <v>4428</v>
      </c>
      <c r="AV126" s="63"/>
    </row>
    <row r="127" spans="1:48">
      <c r="A127" s="64"/>
      <c r="B127" s="64"/>
      <c r="C127" s="64"/>
      <c r="D127" s="64"/>
      <c r="E127" s="64"/>
      <c r="F127" s="64"/>
      <c r="G127" s="65"/>
      <c r="H127" s="65"/>
      <c r="I127" s="65"/>
      <c r="J127" s="65"/>
      <c r="K127" s="65"/>
      <c r="L127" s="65"/>
      <c r="M127" s="65"/>
      <c r="N127" s="65"/>
      <c r="O127" s="65"/>
      <c r="P127" s="65"/>
      <c r="Q127" s="65"/>
      <c r="R127" s="65"/>
      <c r="S127" s="65"/>
      <c r="T127" s="65"/>
      <c r="U127" s="65"/>
      <c r="V127" s="65"/>
      <c r="W127" s="65"/>
      <c r="X127" s="65"/>
      <c r="Y127" s="65"/>
      <c r="Z127" s="65"/>
      <c r="AA127" s="65"/>
      <c r="AB127" s="65"/>
      <c r="AC127" s="65"/>
      <c r="AD127" s="65"/>
      <c r="AE127" s="65"/>
      <c r="AF127" s="65"/>
      <c r="AG127" s="61"/>
      <c r="AH127" s="62" t="s">
        <v>4429</v>
      </c>
      <c r="AI127" s="62" t="s">
        <v>4430</v>
      </c>
      <c r="AJ127" s="62" t="s">
        <v>4431</v>
      </c>
      <c r="AK127" s="62" t="s">
        <v>4432</v>
      </c>
      <c r="AL127" s="62" t="s">
        <v>4433</v>
      </c>
      <c r="AM127" s="62" t="s">
        <v>4434</v>
      </c>
      <c r="AN127" s="62" t="s">
        <v>4435</v>
      </c>
      <c r="AO127" s="62" t="s">
        <v>4436</v>
      </c>
      <c r="AP127" s="62" t="s">
        <v>4437</v>
      </c>
      <c r="AQ127" s="62" t="s">
        <v>4438</v>
      </c>
      <c r="AR127" s="62" t="s">
        <v>4439</v>
      </c>
      <c r="AS127" s="62" t="s">
        <v>4440</v>
      </c>
      <c r="AT127" s="62" t="s">
        <v>4441</v>
      </c>
      <c r="AU127" s="62" t="s">
        <v>4442</v>
      </c>
      <c r="AV127" s="63" t="s">
        <v>4443</v>
      </c>
    </row>
    <row r="128" spans="1:48">
      <c r="A128" s="64"/>
      <c r="B128" s="64"/>
      <c r="C128" s="64"/>
      <c r="D128" s="64"/>
      <c r="E128" s="64"/>
      <c r="F128" s="64"/>
      <c r="G128" s="65"/>
      <c r="H128" s="65"/>
      <c r="I128" s="65"/>
      <c r="J128" s="65"/>
      <c r="K128" s="65"/>
      <c r="L128" s="65"/>
      <c r="M128" s="65"/>
      <c r="N128" s="65"/>
      <c r="O128" s="65"/>
      <c r="P128" s="65"/>
      <c r="Q128" s="65"/>
      <c r="R128" s="65"/>
      <c r="S128" s="65"/>
      <c r="T128" s="65"/>
      <c r="U128" s="65"/>
      <c r="V128" s="65"/>
      <c r="W128" s="65"/>
      <c r="X128" s="65"/>
      <c r="Y128" s="65"/>
      <c r="Z128" s="65"/>
      <c r="AA128" s="65"/>
      <c r="AB128" s="65"/>
      <c r="AC128" s="65"/>
      <c r="AD128" s="65"/>
      <c r="AE128" s="65"/>
      <c r="AF128" s="65"/>
      <c r="AG128" s="61" t="s">
        <v>4444</v>
      </c>
      <c r="AH128" s="62" t="s">
        <v>4445</v>
      </c>
      <c r="AI128" s="62" t="s">
        <v>4446</v>
      </c>
      <c r="AJ128" s="62" t="s">
        <v>4447</v>
      </c>
      <c r="AK128" s="62" t="s">
        <v>4448</v>
      </c>
      <c r="AL128" s="62" t="s">
        <v>4449</v>
      </c>
      <c r="AM128" s="62" t="s">
        <v>4450</v>
      </c>
      <c r="AN128" s="62" t="s">
        <v>4451</v>
      </c>
      <c r="AO128" s="62" t="s">
        <v>4452</v>
      </c>
      <c r="AP128" s="62" t="s">
        <v>4453</v>
      </c>
      <c r="AQ128" s="62" t="s">
        <v>4454</v>
      </c>
      <c r="AR128" s="62" t="s">
        <v>4455</v>
      </c>
      <c r="AS128" s="62" t="s">
        <v>4456</v>
      </c>
      <c r="AT128" s="62" t="s">
        <v>4457</v>
      </c>
      <c r="AU128" s="62" t="s">
        <v>4458</v>
      </c>
      <c r="AV128" s="63" t="s">
        <v>4459</v>
      </c>
    </row>
    <row r="129" spans="1:48">
      <c r="A129" s="64"/>
      <c r="B129" s="64"/>
      <c r="C129" s="64"/>
      <c r="D129" s="64"/>
      <c r="E129" s="64"/>
      <c r="F129" s="64"/>
      <c r="G129" s="65"/>
      <c r="H129" s="65"/>
      <c r="I129" s="65"/>
      <c r="J129" s="65"/>
      <c r="K129" s="65"/>
      <c r="L129" s="65"/>
      <c r="M129" s="65"/>
      <c r="N129" s="65"/>
      <c r="O129" s="65"/>
      <c r="P129" s="65"/>
      <c r="Q129" s="65"/>
      <c r="R129" s="65"/>
      <c r="S129" s="65"/>
      <c r="T129" s="65"/>
      <c r="U129" s="65"/>
      <c r="V129" s="65"/>
      <c r="W129" s="65"/>
      <c r="X129" s="65"/>
      <c r="Y129" s="65"/>
      <c r="Z129" s="65"/>
      <c r="AA129" s="65"/>
      <c r="AB129" s="65"/>
      <c r="AC129" s="65"/>
      <c r="AD129" s="65"/>
      <c r="AE129" s="65"/>
      <c r="AF129" s="65"/>
      <c r="AG129" s="66" t="s">
        <v>4460</v>
      </c>
      <c r="AH129" s="67" t="s">
        <v>4461</v>
      </c>
      <c r="AI129" s="67" t="s">
        <v>4462</v>
      </c>
      <c r="AJ129" s="67" t="s">
        <v>4463</v>
      </c>
      <c r="AK129" s="67" t="s">
        <v>4464</v>
      </c>
      <c r="AL129" s="67" t="s">
        <v>4465</v>
      </c>
      <c r="AM129" s="67" t="s">
        <v>4466</v>
      </c>
      <c r="AN129" s="67" t="s">
        <v>4467</v>
      </c>
      <c r="AO129" s="67" t="s">
        <v>4468</v>
      </c>
      <c r="AP129" s="67" t="s">
        <v>4469</v>
      </c>
      <c r="AQ129" s="67" t="s">
        <v>4470</v>
      </c>
      <c r="AR129" s="67" t="s">
        <v>4471</v>
      </c>
      <c r="AS129" s="67" t="s">
        <v>4472</v>
      </c>
      <c r="AT129" s="67" t="s">
        <v>4473</v>
      </c>
      <c r="AU129" s="67" t="s">
        <v>4474</v>
      </c>
      <c r="AV129" s="68" t="s">
        <v>4475</v>
      </c>
    </row>
    <row r="130" spans="1:48">
      <c r="A130" s="64"/>
      <c r="B130" s="64"/>
      <c r="C130" s="64"/>
      <c r="D130" s="64"/>
      <c r="E130" s="64"/>
      <c r="F130" s="64"/>
      <c r="G130" s="65"/>
      <c r="H130" s="65"/>
      <c r="I130" s="65"/>
      <c r="J130" s="65"/>
      <c r="K130" s="65"/>
      <c r="L130" s="65"/>
      <c r="M130" s="65"/>
      <c r="N130" s="65"/>
      <c r="O130" s="65"/>
      <c r="P130" s="65"/>
      <c r="Q130" s="65"/>
      <c r="R130" s="65"/>
      <c r="S130" s="65"/>
      <c r="T130" s="65"/>
      <c r="U130" s="65"/>
      <c r="V130" s="65"/>
      <c r="W130" s="65"/>
      <c r="X130" s="65"/>
      <c r="Y130" s="65"/>
      <c r="Z130" s="65"/>
      <c r="AA130" s="65"/>
      <c r="AB130" s="65"/>
      <c r="AC130" s="65"/>
      <c r="AD130" s="65"/>
      <c r="AE130" s="65"/>
      <c r="AF130" s="65"/>
      <c r="AG130" s="58" t="s">
        <v>4476</v>
      </c>
      <c r="AH130" s="59" t="s">
        <v>4477</v>
      </c>
      <c r="AI130" s="59" t="s">
        <v>4478</v>
      </c>
      <c r="AJ130" s="59" t="s">
        <v>4479</v>
      </c>
      <c r="AK130" s="59" t="s">
        <v>4480</v>
      </c>
      <c r="AL130" s="59" t="s">
        <v>4481</v>
      </c>
      <c r="AM130" s="59" t="s">
        <v>4482</v>
      </c>
      <c r="AN130" s="59" t="s">
        <v>4483</v>
      </c>
      <c r="AO130" s="59" t="s">
        <v>4484</v>
      </c>
      <c r="AP130" s="59" t="s">
        <v>4485</v>
      </c>
      <c r="AQ130" s="59" t="s">
        <v>4486</v>
      </c>
      <c r="AR130" s="59" t="s">
        <v>4487</v>
      </c>
      <c r="AS130" s="59" t="s">
        <v>4488</v>
      </c>
      <c r="AT130" s="59" t="s">
        <v>4489</v>
      </c>
      <c r="AU130" s="59" t="s">
        <v>4490</v>
      </c>
      <c r="AV130" s="60" t="s">
        <v>4491</v>
      </c>
    </row>
    <row r="131" spans="1:48">
      <c r="A131" s="64"/>
      <c r="B131" s="64"/>
      <c r="C131" s="64"/>
      <c r="D131" s="64"/>
      <c r="E131" s="64"/>
      <c r="F131" s="64"/>
      <c r="G131" s="65"/>
      <c r="H131" s="65"/>
      <c r="I131" s="65"/>
      <c r="J131" s="65"/>
      <c r="K131" s="65"/>
      <c r="L131" s="65"/>
      <c r="M131" s="65"/>
      <c r="N131" s="65"/>
      <c r="O131" s="65"/>
      <c r="P131" s="65"/>
      <c r="Q131" s="65"/>
      <c r="R131" s="65"/>
      <c r="S131" s="65"/>
      <c r="T131" s="65"/>
      <c r="U131" s="65"/>
      <c r="V131" s="65"/>
      <c r="W131" s="65"/>
      <c r="X131" s="65"/>
      <c r="Y131" s="65"/>
      <c r="Z131" s="65"/>
      <c r="AA131" s="65"/>
      <c r="AB131" s="65"/>
      <c r="AC131" s="65"/>
      <c r="AD131" s="65"/>
      <c r="AE131" s="65"/>
      <c r="AF131" s="65"/>
      <c r="AG131" s="61" t="s">
        <v>4492</v>
      </c>
      <c r="AH131" s="62" t="s">
        <v>4493</v>
      </c>
      <c r="AI131" s="62" t="s">
        <v>4494</v>
      </c>
      <c r="AJ131" s="62" t="s">
        <v>4495</v>
      </c>
      <c r="AK131" s="62" t="s">
        <v>4496</v>
      </c>
      <c r="AL131" s="62" t="s">
        <v>4497</v>
      </c>
      <c r="AM131" s="62" t="s">
        <v>4498</v>
      </c>
      <c r="AN131" s="62" t="s">
        <v>4499</v>
      </c>
      <c r="AO131" s="62" t="s">
        <v>4500</v>
      </c>
      <c r="AP131" s="62" t="s">
        <v>4501</v>
      </c>
      <c r="AQ131" s="62" t="s">
        <v>4502</v>
      </c>
      <c r="AR131" s="62" t="s">
        <v>4503</v>
      </c>
      <c r="AS131" s="62" t="s">
        <v>4504</v>
      </c>
      <c r="AT131" s="62" t="s">
        <v>4505</v>
      </c>
      <c r="AU131" s="62" t="s">
        <v>4506</v>
      </c>
      <c r="AV131" s="63" t="s">
        <v>4507</v>
      </c>
    </row>
    <row r="132" spans="1:48">
      <c r="A132" s="64"/>
      <c r="B132" s="64"/>
      <c r="C132" s="64"/>
      <c r="D132" s="64"/>
      <c r="E132" s="64"/>
      <c r="F132" s="64"/>
      <c r="G132" s="65"/>
      <c r="H132" s="65"/>
      <c r="I132" s="65"/>
      <c r="J132" s="65"/>
      <c r="K132" s="65"/>
      <c r="L132" s="65"/>
      <c r="M132" s="65"/>
      <c r="N132" s="65"/>
      <c r="O132" s="65"/>
      <c r="P132" s="65"/>
      <c r="Q132" s="65"/>
      <c r="R132" s="65"/>
      <c r="S132" s="65"/>
      <c r="T132" s="65"/>
      <c r="U132" s="65"/>
      <c r="V132" s="65"/>
      <c r="W132" s="65"/>
      <c r="X132" s="65"/>
      <c r="Y132" s="65"/>
      <c r="Z132" s="65"/>
      <c r="AA132" s="65"/>
      <c r="AB132" s="65"/>
      <c r="AC132" s="65"/>
      <c r="AD132" s="65"/>
      <c r="AE132" s="65"/>
      <c r="AF132" s="65"/>
      <c r="AG132" s="61" t="s">
        <v>4508</v>
      </c>
      <c r="AH132" s="62" t="s">
        <v>4509</v>
      </c>
      <c r="AI132" s="62" t="s">
        <v>4510</v>
      </c>
      <c r="AJ132" s="62" t="s">
        <v>4511</v>
      </c>
      <c r="AK132" s="62" t="s">
        <v>4512</v>
      </c>
      <c r="AL132" s="62" t="s">
        <v>4513</v>
      </c>
      <c r="AM132" s="62" t="s">
        <v>4514</v>
      </c>
      <c r="AN132" s="62" t="s">
        <v>4515</v>
      </c>
      <c r="AO132" s="62" t="s">
        <v>4516</v>
      </c>
      <c r="AP132" s="62" t="s">
        <v>4517</v>
      </c>
      <c r="AQ132" s="62" t="s">
        <v>4518</v>
      </c>
      <c r="AR132" s="62" t="s">
        <v>4519</v>
      </c>
      <c r="AS132" s="62" t="s">
        <v>4520</v>
      </c>
      <c r="AT132" s="62" t="s">
        <v>4521</v>
      </c>
      <c r="AU132" s="62" t="s">
        <v>4522</v>
      </c>
      <c r="AV132" s="63"/>
    </row>
    <row r="133" spans="1:48">
      <c r="A133" s="64"/>
      <c r="B133" s="64"/>
      <c r="C133" s="64"/>
      <c r="D133" s="64"/>
      <c r="E133" s="64"/>
      <c r="F133" s="64"/>
      <c r="G133" s="65"/>
      <c r="H133" s="65"/>
      <c r="I133" s="65"/>
      <c r="J133" s="65"/>
      <c r="K133" s="65"/>
      <c r="L133" s="65"/>
      <c r="M133" s="65"/>
      <c r="N133" s="65"/>
      <c r="O133" s="65"/>
      <c r="P133" s="65"/>
      <c r="Q133" s="65"/>
      <c r="R133" s="65"/>
      <c r="S133" s="65"/>
      <c r="T133" s="65"/>
      <c r="U133" s="65"/>
      <c r="V133" s="65"/>
      <c r="W133" s="65"/>
      <c r="X133" s="65"/>
      <c r="Y133" s="65"/>
      <c r="Z133" s="65"/>
      <c r="AA133" s="65"/>
      <c r="AB133" s="65"/>
      <c r="AC133" s="65"/>
      <c r="AD133" s="65"/>
      <c r="AE133" s="65"/>
      <c r="AF133" s="65"/>
      <c r="AG133" s="61" t="s">
        <v>4523</v>
      </c>
      <c r="AH133" s="62" t="s">
        <v>4524</v>
      </c>
      <c r="AI133" s="62" t="s">
        <v>4525</v>
      </c>
      <c r="AJ133" s="62" t="s">
        <v>4526</v>
      </c>
      <c r="AK133" s="62" t="s">
        <v>4527</v>
      </c>
      <c r="AL133" s="62" t="s">
        <v>4528</v>
      </c>
      <c r="AM133" s="62" t="s">
        <v>4529</v>
      </c>
      <c r="AN133" s="62" t="s">
        <v>4530</v>
      </c>
      <c r="AO133" s="62" t="s">
        <v>4531</v>
      </c>
      <c r="AP133" s="62" t="s">
        <v>4532</v>
      </c>
      <c r="AQ133" s="62" t="s">
        <v>4533</v>
      </c>
      <c r="AR133" s="62" t="s">
        <v>4534</v>
      </c>
      <c r="AS133" s="62" t="s">
        <v>4535</v>
      </c>
      <c r="AT133" s="62" t="s">
        <v>4536</v>
      </c>
      <c r="AU133" s="62" t="s">
        <v>4537</v>
      </c>
      <c r="AV133" s="63" t="s">
        <v>4538</v>
      </c>
    </row>
    <row r="134" spans="1:48">
      <c r="A134" s="64"/>
      <c r="B134" s="64"/>
      <c r="C134" s="64"/>
      <c r="D134" s="64"/>
      <c r="E134" s="64"/>
      <c r="F134" s="64"/>
      <c r="G134" s="65"/>
      <c r="H134" s="65"/>
      <c r="I134" s="65"/>
      <c r="J134" s="65"/>
      <c r="K134" s="65"/>
      <c r="L134" s="65"/>
      <c r="M134" s="65"/>
      <c r="N134" s="65"/>
      <c r="O134" s="65"/>
      <c r="P134" s="65"/>
      <c r="Q134" s="65"/>
      <c r="R134" s="65"/>
      <c r="S134" s="65"/>
      <c r="T134" s="65"/>
      <c r="U134" s="65"/>
      <c r="V134" s="65"/>
      <c r="W134" s="65"/>
      <c r="X134" s="65"/>
      <c r="Y134" s="65"/>
      <c r="Z134" s="65"/>
      <c r="AA134" s="65"/>
      <c r="AB134" s="65"/>
      <c r="AC134" s="65"/>
      <c r="AD134" s="65"/>
      <c r="AE134" s="65"/>
      <c r="AF134" s="65"/>
      <c r="AG134" s="61" t="s">
        <v>4539</v>
      </c>
      <c r="AH134" s="62" t="s">
        <v>4540</v>
      </c>
      <c r="AI134" s="62" t="s">
        <v>4541</v>
      </c>
      <c r="AJ134" s="62" t="s">
        <v>4542</v>
      </c>
      <c r="AK134" s="62" t="s">
        <v>4543</v>
      </c>
      <c r="AL134" s="62" t="s">
        <v>4544</v>
      </c>
      <c r="AM134" s="62" t="s">
        <v>4545</v>
      </c>
      <c r="AN134" s="62" t="s">
        <v>4546</v>
      </c>
      <c r="AO134" s="62" t="s">
        <v>4547</v>
      </c>
      <c r="AP134" s="62" t="s">
        <v>4548</v>
      </c>
      <c r="AQ134" s="62" t="s">
        <v>4549</v>
      </c>
      <c r="AR134" s="62" t="s">
        <v>4550</v>
      </c>
      <c r="AS134" s="62" t="s">
        <v>4551</v>
      </c>
      <c r="AT134" s="62" t="s">
        <v>4552</v>
      </c>
      <c r="AU134" s="62" t="s">
        <v>4553</v>
      </c>
      <c r="AV134" s="63" t="s">
        <v>4554</v>
      </c>
    </row>
    <row r="135" spans="1:48">
      <c r="A135" s="64"/>
      <c r="B135" s="64"/>
      <c r="C135" s="64"/>
      <c r="D135" s="64"/>
      <c r="E135" s="64"/>
      <c r="F135" s="64"/>
      <c r="G135" s="65"/>
      <c r="H135" s="65"/>
      <c r="I135" s="65"/>
      <c r="J135" s="65"/>
      <c r="K135" s="65"/>
      <c r="L135" s="65"/>
      <c r="M135" s="65"/>
      <c r="N135" s="65"/>
      <c r="O135" s="65"/>
      <c r="P135" s="65"/>
      <c r="Q135" s="65"/>
      <c r="R135" s="65"/>
      <c r="S135" s="65"/>
      <c r="T135" s="65"/>
      <c r="U135" s="65"/>
      <c r="V135" s="65"/>
      <c r="W135" s="65"/>
      <c r="X135" s="65"/>
      <c r="Y135" s="65"/>
      <c r="Z135" s="65"/>
      <c r="AA135" s="65"/>
      <c r="AB135" s="65"/>
      <c r="AC135" s="65"/>
      <c r="AD135" s="65"/>
      <c r="AE135" s="65"/>
      <c r="AF135" s="65"/>
      <c r="AG135" s="61"/>
      <c r="AH135" s="62"/>
      <c r="AI135" s="62"/>
      <c r="AJ135" s="62"/>
      <c r="AK135" s="62"/>
      <c r="AL135" s="62"/>
      <c r="AM135" s="62"/>
      <c r="AN135" s="62"/>
      <c r="AO135" s="62"/>
      <c r="AP135" s="62"/>
      <c r="AQ135" s="62"/>
      <c r="AR135" s="62"/>
      <c r="AS135" s="62"/>
      <c r="AT135" s="62"/>
      <c r="AU135" s="62"/>
      <c r="AV135" s="63"/>
    </row>
    <row r="136" spans="1:48">
      <c r="A136" s="64"/>
      <c r="B136" s="64"/>
      <c r="C136" s="64"/>
      <c r="D136" s="64"/>
      <c r="E136" s="64"/>
      <c r="F136" s="64"/>
      <c r="G136" s="65"/>
      <c r="H136" s="65"/>
      <c r="I136" s="65"/>
      <c r="J136" s="65"/>
      <c r="K136" s="65"/>
      <c r="L136" s="65"/>
      <c r="M136" s="65"/>
      <c r="N136" s="65"/>
      <c r="O136" s="65"/>
      <c r="P136" s="65"/>
      <c r="Q136" s="65"/>
      <c r="R136" s="65"/>
      <c r="S136" s="65"/>
      <c r="T136" s="65"/>
      <c r="U136" s="65"/>
      <c r="V136" s="65"/>
      <c r="W136" s="65"/>
      <c r="X136" s="65"/>
      <c r="Y136" s="65"/>
      <c r="Z136" s="65"/>
      <c r="AA136" s="65"/>
      <c r="AB136" s="65"/>
      <c r="AC136" s="65"/>
      <c r="AD136" s="65"/>
      <c r="AE136" s="65"/>
      <c r="AF136" s="65"/>
      <c r="AG136" s="61" t="s">
        <v>4555</v>
      </c>
      <c r="AH136" s="62" t="s">
        <v>4556</v>
      </c>
      <c r="AI136" s="62" t="s">
        <v>4557</v>
      </c>
      <c r="AJ136" s="62" t="s">
        <v>4558</v>
      </c>
      <c r="AK136" s="62" t="s">
        <v>4559</v>
      </c>
      <c r="AL136" s="62" t="s">
        <v>4560</v>
      </c>
      <c r="AM136" s="62" t="s">
        <v>4561</v>
      </c>
      <c r="AN136" s="62" t="s">
        <v>4562</v>
      </c>
      <c r="AO136" s="62" t="s">
        <v>4563</v>
      </c>
      <c r="AP136" s="62" t="s">
        <v>4564</v>
      </c>
      <c r="AQ136" s="62" t="s">
        <v>4565</v>
      </c>
      <c r="AR136" s="62" t="s">
        <v>4566</v>
      </c>
      <c r="AS136" s="62" t="s">
        <v>4567</v>
      </c>
      <c r="AT136" s="62" t="s">
        <v>4568</v>
      </c>
      <c r="AU136" s="62" t="s">
        <v>4569</v>
      </c>
      <c r="AV136" s="63" t="s">
        <v>4570</v>
      </c>
    </row>
    <row r="137" spans="1:48">
      <c r="A137" s="64"/>
      <c r="B137" s="64"/>
      <c r="C137" s="64"/>
      <c r="D137" s="64"/>
      <c r="E137" s="64"/>
      <c r="F137" s="64"/>
      <c r="G137" s="65"/>
      <c r="H137" s="65"/>
      <c r="I137" s="65"/>
      <c r="J137" s="65"/>
      <c r="K137" s="65"/>
      <c r="L137" s="65"/>
      <c r="M137" s="65"/>
      <c r="N137" s="65"/>
      <c r="O137" s="65"/>
      <c r="P137" s="65"/>
      <c r="Q137" s="65"/>
      <c r="R137" s="65"/>
      <c r="S137" s="65"/>
      <c r="T137" s="65"/>
      <c r="U137" s="65"/>
      <c r="V137" s="65"/>
      <c r="W137" s="65"/>
      <c r="X137" s="65"/>
      <c r="Y137" s="65"/>
      <c r="Z137" s="65"/>
      <c r="AA137" s="65"/>
      <c r="AB137" s="65"/>
      <c r="AC137" s="65"/>
      <c r="AD137" s="65"/>
      <c r="AE137" s="65"/>
      <c r="AF137" s="65"/>
      <c r="AG137" s="61" t="s">
        <v>4571</v>
      </c>
      <c r="AH137" s="62" t="s">
        <v>4572</v>
      </c>
      <c r="AI137" s="62" t="s">
        <v>4573</v>
      </c>
      <c r="AJ137" s="62" t="s">
        <v>4574</v>
      </c>
      <c r="AK137" s="62" t="s">
        <v>4575</v>
      </c>
      <c r="AL137" s="62" t="s">
        <v>4576</v>
      </c>
      <c r="AM137" s="62" t="s">
        <v>4577</v>
      </c>
      <c r="AN137" s="62" t="s">
        <v>4578</v>
      </c>
      <c r="AO137" s="62" t="s">
        <v>4579</v>
      </c>
      <c r="AP137" s="62" t="s">
        <v>4580</v>
      </c>
      <c r="AQ137" s="62" t="s">
        <v>4581</v>
      </c>
      <c r="AR137" s="62" t="s">
        <v>4582</v>
      </c>
      <c r="AS137" s="62" t="s">
        <v>4583</v>
      </c>
      <c r="AT137" s="62" t="s">
        <v>4584</v>
      </c>
      <c r="AU137" s="62" t="s">
        <v>4585</v>
      </c>
      <c r="AV137" s="63" t="s">
        <v>4586</v>
      </c>
    </row>
    <row r="138" spans="1:48">
      <c r="A138" s="64"/>
      <c r="B138" s="64"/>
      <c r="C138" s="64"/>
      <c r="D138" s="64"/>
      <c r="E138" s="64"/>
      <c r="F138" s="64"/>
      <c r="G138" s="65"/>
      <c r="H138" s="65"/>
      <c r="I138" s="65"/>
      <c r="J138" s="65"/>
      <c r="K138" s="65"/>
      <c r="L138" s="65"/>
      <c r="M138" s="65"/>
      <c r="N138" s="65"/>
      <c r="O138" s="65"/>
      <c r="P138" s="65"/>
      <c r="Q138" s="65"/>
      <c r="R138" s="65"/>
      <c r="S138" s="65"/>
      <c r="T138" s="65"/>
      <c r="U138" s="65"/>
      <c r="V138" s="65"/>
      <c r="W138" s="65"/>
      <c r="X138" s="65"/>
      <c r="Y138" s="65"/>
      <c r="Z138" s="65"/>
      <c r="AA138" s="65"/>
      <c r="AB138" s="65"/>
      <c r="AC138" s="65"/>
      <c r="AD138" s="65"/>
      <c r="AE138" s="65"/>
      <c r="AF138" s="65"/>
      <c r="AG138" s="61" t="s">
        <v>4587</v>
      </c>
      <c r="AH138" s="62" t="s">
        <v>4588</v>
      </c>
      <c r="AI138" s="62" t="s">
        <v>4589</v>
      </c>
      <c r="AJ138" s="62" t="s">
        <v>4590</v>
      </c>
      <c r="AK138" s="62" t="s">
        <v>4591</v>
      </c>
      <c r="AL138" s="62" t="s">
        <v>4592</v>
      </c>
      <c r="AM138" s="62" t="s">
        <v>4593</v>
      </c>
      <c r="AN138" s="62" t="s">
        <v>4594</v>
      </c>
      <c r="AO138" s="62" t="s">
        <v>4595</v>
      </c>
      <c r="AP138" s="62" t="s">
        <v>4596</v>
      </c>
      <c r="AQ138" s="62" t="s">
        <v>4597</v>
      </c>
      <c r="AR138" s="62" t="s">
        <v>4598</v>
      </c>
      <c r="AS138" s="62" t="s">
        <v>4599</v>
      </c>
      <c r="AT138" s="62" t="s">
        <v>4600</v>
      </c>
      <c r="AU138" s="62" t="s">
        <v>4601</v>
      </c>
      <c r="AV138" s="63" t="s">
        <v>4602</v>
      </c>
    </row>
    <row r="139" spans="1:48">
      <c r="A139" s="64"/>
      <c r="B139" s="64"/>
      <c r="C139" s="64"/>
      <c r="D139" s="64"/>
      <c r="E139" s="64"/>
      <c r="F139" s="64"/>
      <c r="G139" s="65"/>
      <c r="H139" s="65"/>
      <c r="I139" s="65"/>
      <c r="J139" s="65"/>
      <c r="K139" s="65"/>
      <c r="L139" s="65"/>
      <c r="M139" s="65"/>
      <c r="N139" s="65"/>
      <c r="O139" s="65"/>
      <c r="P139" s="65"/>
      <c r="Q139" s="65"/>
      <c r="R139" s="65"/>
      <c r="S139" s="65"/>
      <c r="T139" s="65"/>
      <c r="U139" s="65"/>
      <c r="V139" s="65"/>
      <c r="W139" s="65"/>
      <c r="X139" s="65"/>
      <c r="Y139" s="65"/>
      <c r="Z139" s="65"/>
      <c r="AA139" s="65"/>
      <c r="AB139" s="65"/>
      <c r="AC139" s="65"/>
      <c r="AD139" s="65"/>
      <c r="AE139" s="65"/>
      <c r="AF139" s="65"/>
      <c r="AG139" s="61" t="s">
        <v>4603</v>
      </c>
      <c r="AH139" s="62" t="s">
        <v>4604</v>
      </c>
      <c r="AI139" s="62" t="s">
        <v>4605</v>
      </c>
      <c r="AJ139" s="62" t="s">
        <v>4606</v>
      </c>
      <c r="AK139" s="62" t="s">
        <v>4607</v>
      </c>
      <c r="AL139" s="62" t="s">
        <v>4608</v>
      </c>
      <c r="AM139" s="62" t="s">
        <v>4609</v>
      </c>
      <c r="AN139" s="62" t="s">
        <v>4610</v>
      </c>
      <c r="AO139" s="62" t="s">
        <v>4611</v>
      </c>
      <c r="AP139" s="62" t="s">
        <v>4612</v>
      </c>
      <c r="AQ139" s="62" t="s">
        <v>4613</v>
      </c>
      <c r="AR139" s="62" t="s">
        <v>4614</v>
      </c>
      <c r="AS139" s="62" t="s">
        <v>4615</v>
      </c>
      <c r="AT139" s="62" t="s">
        <v>4616</v>
      </c>
      <c r="AU139" s="62" t="s">
        <v>4617</v>
      </c>
      <c r="AV139" s="63"/>
    </row>
    <row r="140" spans="1:48">
      <c r="A140" s="64"/>
      <c r="B140" s="64"/>
      <c r="C140" s="64"/>
      <c r="D140" s="64"/>
      <c r="E140" s="64"/>
      <c r="F140" s="64"/>
      <c r="G140" s="65"/>
      <c r="H140" s="65"/>
      <c r="I140" s="65"/>
      <c r="J140" s="65"/>
      <c r="K140" s="65"/>
      <c r="L140" s="65"/>
      <c r="M140" s="65"/>
      <c r="N140" s="65"/>
      <c r="O140" s="65"/>
      <c r="P140" s="65"/>
      <c r="Q140" s="65"/>
      <c r="R140" s="65"/>
      <c r="S140" s="65"/>
      <c r="T140" s="65"/>
      <c r="U140" s="65"/>
      <c r="V140" s="65"/>
      <c r="W140" s="65"/>
      <c r="X140" s="65"/>
      <c r="Y140" s="65"/>
      <c r="Z140" s="65"/>
      <c r="AA140" s="65"/>
      <c r="AB140" s="65"/>
      <c r="AC140" s="65"/>
      <c r="AD140" s="65"/>
      <c r="AE140" s="65"/>
      <c r="AF140" s="65"/>
      <c r="AG140" s="61"/>
      <c r="AH140" s="62" t="s">
        <v>4618</v>
      </c>
      <c r="AI140" s="62" t="s">
        <v>4619</v>
      </c>
      <c r="AJ140" s="62" t="s">
        <v>4620</v>
      </c>
      <c r="AK140" s="62" t="s">
        <v>4621</v>
      </c>
      <c r="AL140" s="62" t="s">
        <v>4622</v>
      </c>
      <c r="AM140" s="62" t="s">
        <v>4623</v>
      </c>
      <c r="AN140" s="62" t="s">
        <v>4624</v>
      </c>
      <c r="AO140" s="62" t="s">
        <v>4625</v>
      </c>
      <c r="AP140" s="62" t="s">
        <v>4626</v>
      </c>
      <c r="AQ140" s="62" t="s">
        <v>4627</v>
      </c>
      <c r="AR140" s="62" t="s">
        <v>4628</v>
      </c>
      <c r="AS140" s="62" t="s">
        <v>4629</v>
      </c>
      <c r="AT140" s="62" t="s">
        <v>4630</v>
      </c>
      <c r="AU140" s="62" t="s">
        <v>4631</v>
      </c>
      <c r="AV140" s="63" t="s">
        <v>4632</v>
      </c>
    </row>
    <row r="141" spans="1:48">
      <c r="A141" s="64"/>
      <c r="B141" s="64"/>
      <c r="C141" s="64"/>
      <c r="D141" s="64"/>
      <c r="E141" s="64"/>
      <c r="F141" s="64"/>
      <c r="G141" s="65"/>
      <c r="H141" s="65"/>
      <c r="I141" s="65"/>
      <c r="J141" s="65"/>
      <c r="K141" s="65"/>
      <c r="L141" s="65"/>
      <c r="M141" s="65"/>
      <c r="N141" s="65"/>
      <c r="O141" s="65"/>
      <c r="P141" s="65"/>
      <c r="Q141" s="65"/>
      <c r="R141" s="65"/>
      <c r="S141" s="65"/>
      <c r="T141" s="65"/>
      <c r="U141" s="65"/>
      <c r="V141" s="65"/>
      <c r="W141" s="65"/>
      <c r="X141" s="65"/>
      <c r="Y141" s="65"/>
      <c r="Z141" s="65"/>
      <c r="AA141" s="65"/>
      <c r="AB141" s="65"/>
      <c r="AC141" s="65"/>
      <c r="AD141" s="65"/>
      <c r="AE141" s="65"/>
      <c r="AF141" s="65"/>
      <c r="AG141" s="61" t="s">
        <v>4633</v>
      </c>
      <c r="AH141" s="62" t="s">
        <v>4634</v>
      </c>
      <c r="AI141" s="62" t="s">
        <v>4635</v>
      </c>
      <c r="AJ141" s="62" t="s">
        <v>4636</v>
      </c>
      <c r="AK141" s="62" t="s">
        <v>4637</v>
      </c>
      <c r="AL141" s="62" t="s">
        <v>4638</v>
      </c>
      <c r="AM141" s="62" t="s">
        <v>4639</v>
      </c>
      <c r="AN141" s="62" t="s">
        <v>4640</v>
      </c>
      <c r="AO141" s="62" t="s">
        <v>4641</v>
      </c>
      <c r="AP141" s="62" t="s">
        <v>4642</v>
      </c>
      <c r="AQ141" s="62" t="s">
        <v>4643</v>
      </c>
      <c r="AR141" s="62" t="s">
        <v>4644</v>
      </c>
      <c r="AS141" s="62" t="s">
        <v>4645</v>
      </c>
      <c r="AT141" s="62" t="s">
        <v>4646</v>
      </c>
      <c r="AU141" s="62" t="s">
        <v>4647</v>
      </c>
      <c r="AV141" s="63" t="s">
        <v>4648</v>
      </c>
    </row>
    <row r="142" spans="1:48">
      <c r="A142" s="64"/>
      <c r="B142" s="64"/>
      <c r="C142" s="64"/>
      <c r="D142" s="64"/>
      <c r="E142" s="64"/>
      <c r="F142" s="64"/>
      <c r="G142" s="65"/>
      <c r="H142" s="65"/>
      <c r="I142" s="65"/>
      <c r="J142" s="65"/>
      <c r="K142" s="65"/>
      <c r="L142" s="65"/>
      <c r="M142" s="65"/>
      <c r="N142" s="65"/>
      <c r="O142" s="65"/>
      <c r="P142" s="65"/>
      <c r="Q142" s="65"/>
      <c r="R142" s="65"/>
      <c r="S142" s="65"/>
      <c r="T142" s="65"/>
      <c r="U142" s="65"/>
      <c r="V142" s="65"/>
      <c r="W142" s="65"/>
      <c r="X142" s="65"/>
      <c r="Y142" s="65"/>
      <c r="Z142" s="65"/>
      <c r="AA142" s="65"/>
      <c r="AB142" s="65"/>
      <c r="AC142" s="65"/>
      <c r="AD142" s="65"/>
      <c r="AE142" s="65"/>
      <c r="AF142" s="65"/>
      <c r="AG142" s="61" t="s">
        <v>4649</v>
      </c>
      <c r="AH142" s="62" t="s">
        <v>4650</v>
      </c>
      <c r="AI142" s="62" t="s">
        <v>4651</v>
      </c>
      <c r="AJ142" s="62" t="s">
        <v>4652</v>
      </c>
      <c r="AK142" s="62" t="s">
        <v>4653</v>
      </c>
      <c r="AL142" s="62" t="s">
        <v>4654</v>
      </c>
      <c r="AM142" s="62" t="s">
        <v>4655</v>
      </c>
      <c r="AN142" s="62" t="s">
        <v>4656</v>
      </c>
      <c r="AO142" s="62" t="s">
        <v>4657</v>
      </c>
      <c r="AP142" s="62" t="s">
        <v>4658</v>
      </c>
      <c r="AQ142" s="62" t="s">
        <v>4659</v>
      </c>
      <c r="AR142" s="62" t="s">
        <v>4660</v>
      </c>
      <c r="AS142" s="62" t="s">
        <v>4661</v>
      </c>
      <c r="AT142" s="62" t="s">
        <v>4662</v>
      </c>
      <c r="AU142" s="62" t="s">
        <v>4663</v>
      </c>
      <c r="AV142" s="63" t="s">
        <v>4664</v>
      </c>
    </row>
    <row r="143" spans="1:48">
      <c r="A143" s="64"/>
      <c r="B143" s="64"/>
      <c r="C143" s="64"/>
      <c r="D143" s="64"/>
      <c r="E143" s="64"/>
      <c r="F143" s="64"/>
      <c r="G143" s="65"/>
      <c r="H143" s="65"/>
      <c r="I143" s="65"/>
      <c r="J143" s="65"/>
      <c r="K143" s="65"/>
      <c r="L143" s="65"/>
      <c r="M143" s="65"/>
      <c r="N143" s="65"/>
      <c r="O143" s="65"/>
      <c r="P143" s="65"/>
      <c r="Q143" s="65"/>
      <c r="R143" s="65"/>
      <c r="S143" s="65"/>
      <c r="T143" s="65"/>
      <c r="U143" s="65"/>
      <c r="V143" s="65"/>
      <c r="W143" s="65"/>
      <c r="X143" s="65"/>
      <c r="Y143" s="65"/>
      <c r="Z143" s="65"/>
      <c r="AA143" s="65"/>
      <c r="AB143" s="65"/>
      <c r="AC143" s="65"/>
      <c r="AD143" s="65"/>
      <c r="AE143" s="65"/>
      <c r="AF143" s="65"/>
      <c r="AG143" s="61" t="s">
        <v>4665</v>
      </c>
      <c r="AH143" s="62" t="s">
        <v>4666</v>
      </c>
      <c r="AI143" s="62" t="s">
        <v>4667</v>
      </c>
      <c r="AJ143" s="62" t="s">
        <v>4668</v>
      </c>
      <c r="AK143" s="62" t="s">
        <v>4669</v>
      </c>
      <c r="AL143" s="62" t="s">
        <v>4670</v>
      </c>
      <c r="AM143" s="62" t="s">
        <v>4671</v>
      </c>
      <c r="AN143" s="62" t="s">
        <v>4672</v>
      </c>
      <c r="AO143" s="62" t="s">
        <v>4673</v>
      </c>
      <c r="AP143" s="62" t="s">
        <v>4674</v>
      </c>
      <c r="AQ143" s="62" t="s">
        <v>4675</v>
      </c>
      <c r="AR143" s="62" t="s">
        <v>4676</v>
      </c>
      <c r="AS143" s="62" t="s">
        <v>4677</v>
      </c>
      <c r="AT143" s="62" t="s">
        <v>4678</v>
      </c>
      <c r="AU143" s="62" t="s">
        <v>4679</v>
      </c>
      <c r="AV143" s="63" t="s">
        <v>4680</v>
      </c>
    </row>
    <row r="144" spans="1:48">
      <c r="A144" s="64"/>
      <c r="B144" s="64"/>
      <c r="C144" s="64"/>
      <c r="D144" s="64"/>
      <c r="E144" s="64"/>
      <c r="F144" s="64"/>
      <c r="G144" s="65"/>
      <c r="H144" s="65"/>
      <c r="I144" s="65"/>
      <c r="J144" s="65"/>
      <c r="K144" s="65"/>
      <c r="L144" s="65"/>
      <c r="M144" s="65"/>
      <c r="N144" s="65"/>
      <c r="O144" s="65"/>
      <c r="P144" s="65"/>
      <c r="Q144" s="65"/>
      <c r="R144" s="65"/>
      <c r="S144" s="65"/>
      <c r="T144" s="65"/>
      <c r="U144" s="65"/>
      <c r="V144" s="65"/>
      <c r="W144" s="65"/>
      <c r="X144" s="65"/>
      <c r="Y144" s="65"/>
      <c r="Z144" s="65"/>
      <c r="AA144" s="65"/>
      <c r="AB144" s="65"/>
      <c r="AC144" s="65"/>
      <c r="AD144" s="65"/>
      <c r="AE144" s="65"/>
      <c r="AF144" s="65"/>
      <c r="AG144" s="61" t="s">
        <v>4681</v>
      </c>
      <c r="AH144" s="62" t="s">
        <v>4682</v>
      </c>
      <c r="AI144" s="62" t="s">
        <v>4683</v>
      </c>
      <c r="AJ144" s="62" t="s">
        <v>4684</v>
      </c>
      <c r="AK144" s="62" t="s">
        <v>4685</v>
      </c>
      <c r="AL144" s="62" t="s">
        <v>4686</v>
      </c>
      <c r="AM144" s="62" t="s">
        <v>4687</v>
      </c>
      <c r="AN144" s="62" t="s">
        <v>4688</v>
      </c>
      <c r="AO144" s="62" t="s">
        <v>4689</v>
      </c>
      <c r="AP144" s="62" t="s">
        <v>4690</v>
      </c>
      <c r="AQ144" s="62" t="s">
        <v>4691</v>
      </c>
      <c r="AR144" s="62" t="s">
        <v>4692</v>
      </c>
      <c r="AS144" s="62" t="s">
        <v>4693</v>
      </c>
      <c r="AT144" s="62" t="s">
        <v>4694</v>
      </c>
      <c r="AU144" s="62" t="s">
        <v>4695</v>
      </c>
      <c r="AV144" s="63" t="s">
        <v>4696</v>
      </c>
    </row>
    <row r="145" spans="1:48">
      <c r="A145" s="64"/>
      <c r="B145" s="64"/>
      <c r="C145" s="64"/>
      <c r="D145" s="64"/>
      <c r="E145" s="64"/>
      <c r="F145" s="64"/>
      <c r="G145" s="65"/>
      <c r="H145" s="65"/>
      <c r="I145" s="65"/>
      <c r="J145" s="65"/>
      <c r="K145" s="65"/>
      <c r="L145" s="65"/>
      <c r="M145" s="65"/>
      <c r="N145" s="65"/>
      <c r="O145" s="65"/>
      <c r="P145" s="65"/>
      <c r="Q145" s="65"/>
      <c r="R145" s="65"/>
      <c r="S145" s="65"/>
      <c r="T145" s="65"/>
      <c r="U145" s="65"/>
      <c r="V145" s="65"/>
      <c r="W145" s="65"/>
      <c r="X145" s="65"/>
      <c r="Y145" s="65"/>
      <c r="Z145" s="65"/>
      <c r="AA145" s="65"/>
      <c r="AB145" s="65"/>
      <c r="AC145" s="65"/>
      <c r="AD145" s="65"/>
      <c r="AE145" s="65"/>
      <c r="AF145" s="65"/>
      <c r="AG145" s="66" t="s">
        <v>4697</v>
      </c>
      <c r="AH145" s="67" t="s">
        <v>4698</v>
      </c>
      <c r="AI145" s="67" t="s">
        <v>4699</v>
      </c>
      <c r="AJ145" s="67" t="s">
        <v>4700</v>
      </c>
      <c r="AK145" s="67" t="s">
        <v>4701</v>
      </c>
      <c r="AL145" s="67" t="s">
        <v>4702</v>
      </c>
      <c r="AM145" s="67" t="s">
        <v>4703</v>
      </c>
      <c r="AN145" s="67" t="s">
        <v>4704</v>
      </c>
      <c r="AO145" s="67" t="s">
        <v>4705</v>
      </c>
      <c r="AP145" s="67" t="s">
        <v>4706</v>
      </c>
      <c r="AQ145" s="67" t="s">
        <v>4707</v>
      </c>
      <c r="AR145" s="67" t="s">
        <v>4708</v>
      </c>
      <c r="AS145" s="67" t="s">
        <v>4709</v>
      </c>
      <c r="AT145" s="67" t="s">
        <v>4710</v>
      </c>
      <c r="AU145" s="67" t="s">
        <v>4711</v>
      </c>
      <c r="AV145" s="68"/>
    </row>
    <row r="146" spans="1:48">
      <c r="A146" s="64"/>
      <c r="B146" s="64"/>
      <c r="C146" s="64"/>
      <c r="D146" s="64"/>
      <c r="E146" s="64"/>
      <c r="F146" s="64"/>
      <c r="G146" s="65"/>
      <c r="H146" s="65"/>
      <c r="I146" s="65"/>
      <c r="J146" s="65"/>
      <c r="K146" s="65"/>
      <c r="L146" s="65"/>
      <c r="M146" s="65"/>
      <c r="N146" s="65"/>
      <c r="O146" s="65"/>
      <c r="P146" s="65"/>
      <c r="Q146" s="65"/>
      <c r="R146" s="65"/>
      <c r="S146" s="65"/>
      <c r="T146" s="65"/>
      <c r="U146" s="65"/>
      <c r="V146" s="65"/>
      <c r="W146" s="65"/>
      <c r="X146" s="65"/>
      <c r="Y146" s="65"/>
      <c r="Z146" s="65"/>
      <c r="AA146" s="65"/>
      <c r="AB146" s="65"/>
      <c r="AC146" s="65"/>
      <c r="AD146" s="65"/>
      <c r="AE146" s="65"/>
      <c r="AF146" s="65"/>
      <c r="AG146" s="58"/>
      <c r="AH146" s="59" t="s">
        <v>4712</v>
      </c>
      <c r="AI146" s="59" t="s">
        <v>4713</v>
      </c>
      <c r="AJ146" s="59" t="s">
        <v>4714</v>
      </c>
      <c r="AK146" s="59" t="s">
        <v>4715</v>
      </c>
      <c r="AL146" s="59" t="s">
        <v>4716</v>
      </c>
      <c r="AM146" s="59" t="s">
        <v>4717</v>
      </c>
      <c r="AN146" s="59" t="s">
        <v>4718</v>
      </c>
      <c r="AO146" s="59" t="s">
        <v>4719</v>
      </c>
      <c r="AP146" s="59" t="s">
        <v>4720</v>
      </c>
      <c r="AQ146" s="59" t="s">
        <v>4721</v>
      </c>
      <c r="AR146" s="59" t="s">
        <v>4722</v>
      </c>
      <c r="AS146" s="59" t="s">
        <v>4723</v>
      </c>
      <c r="AT146" s="59" t="s">
        <v>4724</v>
      </c>
      <c r="AU146" s="59" t="s">
        <v>4725</v>
      </c>
      <c r="AV146" s="60" t="s">
        <v>4726</v>
      </c>
    </row>
    <row r="147" spans="1:48">
      <c r="A147" s="64"/>
      <c r="B147" s="64"/>
      <c r="C147" s="64"/>
      <c r="D147" s="64"/>
      <c r="E147" s="64"/>
      <c r="F147" s="64"/>
      <c r="G147" s="65"/>
      <c r="H147" s="65"/>
      <c r="I147" s="65"/>
      <c r="J147" s="65"/>
      <c r="K147" s="65"/>
      <c r="L147" s="65"/>
      <c r="M147" s="65"/>
      <c r="N147" s="65"/>
      <c r="O147" s="65"/>
      <c r="P147" s="65"/>
      <c r="Q147" s="65"/>
      <c r="R147" s="65"/>
      <c r="S147" s="65"/>
      <c r="T147" s="65"/>
      <c r="U147" s="65"/>
      <c r="V147" s="65"/>
      <c r="W147" s="65"/>
      <c r="X147" s="65"/>
      <c r="Y147" s="65"/>
      <c r="Z147" s="65"/>
      <c r="AA147" s="65"/>
      <c r="AB147" s="65"/>
      <c r="AC147" s="65"/>
      <c r="AD147" s="65"/>
      <c r="AE147" s="65"/>
      <c r="AF147" s="65"/>
      <c r="AG147" s="61" t="s">
        <v>4727</v>
      </c>
      <c r="AH147" s="62" t="s">
        <v>4728</v>
      </c>
      <c r="AI147" s="62" t="s">
        <v>4729</v>
      </c>
      <c r="AJ147" s="62" t="s">
        <v>4730</v>
      </c>
      <c r="AK147" s="62" t="s">
        <v>4731</v>
      </c>
      <c r="AL147" s="62" t="s">
        <v>4732</v>
      </c>
      <c r="AM147" s="62" t="s">
        <v>4733</v>
      </c>
      <c r="AN147" s="62" t="s">
        <v>4734</v>
      </c>
      <c r="AO147" s="62" t="s">
        <v>4735</v>
      </c>
      <c r="AP147" s="62" t="s">
        <v>4736</v>
      </c>
      <c r="AQ147" s="62" t="s">
        <v>4737</v>
      </c>
      <c r="AR147" s="62" t="s">
        <v>4738</v>
      </c>
      <c r="AS147" s="62" t="s">
        <v>4739</v>
      </c>
      <c r="AT147" s="62" t="s">
        <v>4740</v>
      </c>
      <c r="AU147" s="62" t="s">
        <v>4741</v>
      </c>
      <c r="AV147" s="63" t="s">
        <v>4742</v>
      </c>
    </row>
    <row r="148" spans="1:48">
      <c r="A148" s="64"/>
      <c r="B148" s="64"/>
      <c r="C148" s="64"/>
      <c r="D148" s="64"/>
      <c r="E148" s="64"/>
      <c r="F148" s="64"/>
      <c r="G148" s="65"/>
      <c r="H148" s="65"/>
      <c r="I148" s="65"/>
      <c r="J148" s="65"/>
      <c r="K148" s="65"/>
      <c r="L148" s="65"/>
      <c r="M148" s="65"/>
      <c r="N148" s="65"/>
      <c r="O148" s="65"/>
      <c r="P148" s="65"/>
      <c r="Q148" s="65"/>
      <c r="R148" s="65"/>
      <c r="S148" s="65"/>
      <c r="T148" s="65"/>
      <c r="U148" s="65"/>
      <c r="V148" s="65"/>
      <c r="W148" s="65"/>
      <c r="X148" s="65"/>
      <c r="Y148" s="65"/>
      <c r="Z148" s="65"/>
      <c r="AA148" s="65"/>
      <c r="AB148" s="65"/>
      <c r="AC148" s="65"/>
      <c r="AD148" s="65"/>
      <c r="AE148" s="65"/>
      <c r="AF148" s="65"/>
      <c r="AG148" s="61" t="s">
        <v>4743</v>
      </c>
      <c r="AH148" s="62" t="s">
        <v>4744</v>
      </c>
      <c r="AI148" s="62" t="s">
        <v>4745</v>
      </c>
      <c r="AJ148" s="62" t="s">
        <v>4746</v>
      </c>
      <c r="AK148" s="62" t="s">
        <v>4747</v>
      </c>
      <c r="AL148" s="62" t="s">
        <v>4748</v>
      </c>
      <c r="AM148" s="62" t="s">
        <v>4749</v>
      </c>
      <c r="AN148" s="62" t="s">
        <v>4750</v>
      </c>
      <c r="AO148" s="62" t="s">
        <v>4751</v>
      </c>
      <c r="AP148" s="62" t="s">
        <v>4752</v>
      </c>
      <c r="AQ148" s="62" t="s">
        <v>4753</v>
      </c>
      <c r="AR148" s="62" t="s">
        <v>4754</v>
      </c>
      <c r="AS148" s="62" t="s">
        <v>4755</v>
      </c>
      <c r="AT148" s="62" t="s">
        <v>4756</v>
      </c>
      <c r="AU148" s="62" t="s">
        <v>4757</v>
      </c>
      <c r="AV148" s="63" t="s">
        <v>4758</v>
      </c>
    </row>
    <row r="149" spans="1:48">
      <c r="A149" s="64"/>
      <c r="B149" s="64"/>
      <c r="C149" s="64"/>
      <c r="D149" s="64"/>
      <c r="E149" s="64"/>
      <c r="F149" s="64"/>
      <c r="G149" s="65"/>
      <c r="H149" s="65"/>
      <c r="I149" s="65"/>
      <c r="J149" s="65"/>
      <c r="K149" s="65"/>
      <c r="L149" s="65"/>
      <c r="M149" s="65"/>
      <c r="N149" s="65"/>
      <c r="O149" s="65"/>
      <c r="P149" s="65"/>
      <c r="Q149" s="65"/>
      <c r="R149" s="65"/>
      <c r="S149" s="65"/>
      <c r="T149" s="65"/>
      <c r="U149" s="65"/>
      <c r="V149" s="65"/>
      <c r="W149" s="65"/>
      <c r="X149" s="65"/>
      <c r="Y149" s="65"/>
      <c r="Z149" s="65"/>
      <c r="AA149" s="65"/>
      <c r="AB149" s="65"/>
      <c r="AC149" s="65"/>
      <c r="AD149" s="65"/>
      <c r="AE149" s="65"/>
      <c r="AF149" s="65"/>
      <c r="AG149" s="61" t="s">
        <v>4759</v>
      </c>
      <c r="AH149" s="62" t="s">
        <v>4760</v>
      </c>
      <c r="AI149" s="62" t="s">
        <v>4761</v>
      </c>
      <c r="AJ149" s="62" t="s">
        <v>4762</v>
      </c>
      <c r="AK149" s="62" t="s">
        <v>4763</v>
      </c>
      <c r="AL149" s="62" t="s">
        <v>4764</v>
      </c>
      <c r="AM149" s="62" t="s">
        <v>4765</v>
      </c>
      <c r="AN149" s="62" t="s">
        <v>4766</v>
      </c>
      <c r="AO149" s="62" t="s">
        <v>4767</v>
      </c>
      <c r="AP149" s="62" t="s">
        <v>4768</v>
      </c>
      <c r="AQ149" s="62" t="s">
        <v>4769</v>
      </c>
      <c r="AR149" s="62" t="s">
        <v>4770</v>
      </c>
      <c r="AS149" s="62" t="s">
        <v>4771</v>
      </c>
      <c r="AT149" s="62" t="s">
        <v>4772</v>
      </c>
      <c r="AU149" s="62" t="s">
        <v>4773</v>
      </c>
      <c r="AV149" s="63" t="s">
        <v>4774</v>
      </c>
    </row>
    <row r="150" spans="1:48">
      <c r="A150" s="64"/>
      <c r="B150" s="64"/>
      <c r="C150" s="64"/>
      <c r="D150" s="64"/>
      <c r="E150" s="64"/>
      <c r="F150" s="64"/>
      <c r="G150" s="65"/>
      <c r="H150" s="65"/>
      <c r="I150" s="65"/>
      <c r="J150" s="65"/>
      <c r="K150" s="65"/>
      <c r="L150" s="65"/>
      <c r="M150" s="65"/>
      <c r="N150" s="65"/>
      <c r="O150" s="65"/>
      <c r="P150" s="65"/>
      <c r="Q150" s="65"/>
      <c r="R150" s="65"/>
      <c r="S150" s="65"/>
      <c r="T150" s="65"/>
      <c r="U150" s="65"/>
      <c r="V150" s="65"/>
      <c r="W150" s="65"/>
      <c r="X150" s="65"/>
      <c r="Y150" s="65"/>
      <c r="Z150" s="65"/>
      <c r="AA150" s="65"/>
      <c r="AB150" s="65"/>
      <c r="AC150" s="65"/>
      <c r="AD150" s="65"/>
      <c r="AE150" s="65"/>
      <c r="AF150" s="65"/>
      <c r="AG150" s="61" t="s">
        <v>4775</v>
      </c>
      <c r="AH150" s="62" t="s">
        <v>4776</v>
      </c>
      <c r="AI150" s="62" t="s">
        <v>4777</v>
      </c>
      <c r="AJ150" s="62" t="s">
        <v>4778</v>
      </c>
      <c r="AK150" s="62" t="s">
        <v>4779</v>
      </c>
      <c r="AL150" s="62" t="s">
        <v>4780</v>
      </c>
      <c r="AM150" s="62" t="s">
        <v>4781</v>
      </c>
      <c r="AN150" s="62" t="s">
        <v>4782</v>
      </c>
      <c r="AO150" s="62" t="s">
        <v>4783</v>
      </c>
      <c r="AP150" s="62" t="s">
        <v>4784</v>
      </c>
      <c r="AQ150" s="62" t="s">
        <v>4785</v>
      </c>
      <c r="AR150" s="62" t="s">
        <v>4786</v>
      </c>
      <c r="AS150" s="62" t="s">
        <v>4787</v>
      </c>
      <c r="AT150" s="62" t="s">
        <v>4788</v>
      </c>
      <c r="AU150" s="62" t="s">
        <v>4789</v>
      </c>
      <c r="AV150" s="63" t="s">
        <v>4790</v>
      </c>
    </row>
    <row r="151" spans="1:48">
      <c r="A151" s="64"/>
      <c r="B151" s="64"/>
      <c r="C151" s="64"/>
      <c r="D151" s="64"/>
      <c r="E151" s="64"/>
      <c r="F151" s="64"/>
      <c r="G151" s="65"/>
      <c r="H151" s="65"/>
      <c r="I151" s="65"/>
      <c r="J151" s="65"/>
      <c r="K151" s="65"/>
      <c r="L151" s="65"/>
      <c r="M151" s="65"/>
      <c r="N151" s="65"/>
      <c r="O151" s="65"/>
      <c r="P151" s="65"/>
      <c r="Q151" s="65"/>
      <c r="R151" s="65"/>
      <c r="S151" s="65"/>
      <c r="T151" s="65"/>
      <c r="U151" s="65"/>
      <c r="V151" s="65"/>
      <c r="W151" s="65"/>
      <c r="X151" s="65"/>
      <c r="Y151" s="65"/>
      <c r="Z151" s="65"/>
      <c r="AA151" s="65"/>
      <c r="AB151" s="65"/>
      <c r="AC151" s="65"/>
      <c r="AD151" s="65"/>
      <c r="AE151" s="65"/>
      <c r="AF151" s="65"/>
      <c r="AG151" s="61"/>
      <c r="AH151" s="62"/>
      <c r="AI151" s="62"/>
      <c r="AJ151" s="62"/>
      <c r="AK151" s="62"/>
      <c r="AL151" s="62"/>
      <c r="AM151" s="62"/>
      <c r="AN151" s="62"/>
      <c r="AO151" s="62"/>
      <c r="AP151" s="62"/>
      <c r="AQ151" s="62"/>
      <c r="AR151" s="62"/>
      <c r="AS151" s="62"/>
      <c r="AT151" s="62"/>
      <c r="AU151" s="62"/>
      <c r="AV151" s="63"/>
    </row>
    <row r="152" spans="1:48">
      <c r="A152" s="64"/>
      <c r="B152" s="64"/>
      <c r="C152" s="64"/>
      <c r="D152" s="64"/>
      <c r="E152" s="64"/>
      <c r="F152" s="64"/>
      <c r="G152" s="65"/>
      <c r="H152" s="65"/>
      <c r="I152" s="65"/>
      <c r="J152" s="65"/>
      <c r="K152" s="65"/>
      <c r="L152" s="65"/>
      <c r="M152" s="65"/>
      <c r="N152" s="65"/>
      <c r="O152" s="65"/>
      <c r="P152" s="65"/>
      <c r="Q152" s="65"/>
      <c r="R152" s="65"/>
      <c r="S152" s="65"/>
      <c r="T152" s="65"/>
      <c r="U152" s="65"/>
      <c r="V152" s="65"/>
      <c r="W152" s="65"/>
      <c r="X152" s="65"/>
      <c r="Y152" s="65"/>
      <c r="Z152" s="65"/>
      <c r="AA152" s="65"/>
      <c r="AB152" s="65"/>
      <c r="AC152" s="65"/>
      <c r="AD152" s="65"/>
      <c r="AE152" s="65"/>
      <c r="AF152" s="65"/>
      <c r="AG152" s="61" t="s">
        <v>4791</v>
      </c>
      <c r="AH152" s="62" t="s">
        <v>4792</v>
      </c>
      <c r="AI152" s="62" t="s">
        <v>4793</v>
      </c>
      <c r="AJ152" s="62" t="s">
        <v>4794</v>
      </c>
      <c r="AK152" s="62" t="s">
        <v>4795</v>
      </c>
      <c r="AL152" s="62" t="s">
        <v>4796</v>
      </c>
      <c r="AM152" s="62" t="s">
        <v>4797</v>
      </c>
      <c r="AN152" s="62" t="s">
        <v>4798</v>
      </c>
      <c r="AO152" s="62" t="s">
        <v>4799</v>
      </c>
      <c r="AP152" s="62" t="s">
        <v>4800</v>
      </c>
      <c r="AQ152" s="62" t="s">
        <v>4801</v>
      </c>
      <c r="AR152" s="62" t="s">
        <v>4802</v>
      </c>
      <c r="AS152" s="62" t="s">
        <v>4803</v>
      </c>
      <c r="AT152" s="62" t="s">
        <v>4804</v>
      </c>
      <c r="AU152" s="62" t="s">
        <v>4805</v>
      </c>
      <c r="AV152" s="63"/>
    </row>
    <row r="153" spans="1:48">
      <c r="A153" s="64"/>
      <c r="B153" s="64"/>
      <c r="C153" s="64"/>
      <c r="D153" s="64"/>
      <c r="E153" s="64"/>
      <c r="F153" s="64"/>
      <c r="G153" s="65"/>
      <c r="H153" s="65"/>
      <c r="I153" s="65"/>
      <c r="J153" s="65"/>
      <c r="K153" s="65"/>
      <c r="L153" s="65"/>
      <c r="M153" s="65"/>
      <c r="N153" s="65"/>
      <c r="O153" s="65"/>
      <c r="P153" s="65"/>
      <c r="Q153" s="65"/>
      <c r="R153" s="65"/>
      <c r="S153" s="65"/>
      <c r="T153" s="65"/>
      <c r="U153" s="65"/>
      <c r="V153" s="65"/>
      <c r="W153" s="65"/>
      <c r="X153" s="65"/>
      <c r="Y153" s="65"/>
      <c r="Z153" s="65"/>
      <c r="AA153" s="65"/>
      <c r="AB153" s="65"/>
      <c r="AC153" s="65"/>
      <c r="AD153" s="65"/>
      <c r="AE153" s="65"/>
      <c r="AF153" s="65"/>
      <c r="AG153" s="61"/>
      <c r="AH153" s="62" t="s">
        <v>4806</v>
      </c>
      <c r="AI153" s="62" t="s">
        <v>4807</v>
      </c>
      <c r="AJ153" s="62" t="s">
        <v>4808</v>
      </c>
      <c r="AK153" s="62" t="s">
        <v>4809</v>
      </c>
      <c r="AL153" s="62" t="s">
        <v>4810</v>
      </c>
      <c r="AM153" s="62" t="s">
        <v>4811</v>
      </c>
      <c r="AN153" s="62" t="s">
        <v>4812</v>
      </c>
      <c r="AO153" s="62" t="s">
        <v>4813</v>
      </c>
      <c r="AP153" s="62" t="s">
        <v>4814</v>
      </c>
      <c r="AQ153" s="62" t="s">
        <v>4815</v>
      </c>
      <c r="AR153" s="62" t="s">
        <v>4816</v>
      </c>
      <c r="AS153" s="62" t="s">
        <v>4817</v>
      </c>
      <c r="AT153" s="62" t="s">
        <v>4818</v>
      </c>
      <c r="AU153" s="62" t="s">
        <v>4819</v>
      </c>
      <c r="AV153" s="63" t="s">
        <v>4820</v>
      </c>
    </row>
    <row r="154" spans="1:48">
      <c r="A154" s="64"/>
      <c r="B154" s="64"/>
      <c r="C154" s="64"/>
      <c r="D154" s="64"/>
      <c r="E154" s="64"/>
      <c r="F154" s="64"/>
      <c r="G154" s="65"/>
      <c r="H154" s="65"/>
      <c r="I154" s="65"/>
      <c r="J154" s="65"/>
      <c r="K154" s="65"/>
      <c r="L154" s="65"/>
      <c r="M154" s="65"/>
      <c r="N154" s="65"/>
      <c r="O154" s="65"/>
      <c r="P154" s="65"/>
      <c r="Q154" s="65"/>
      <c r="R154" s="65"/>
      <c r="S154" s="65"/>
      <c r="T154" s="65"/>
      <c r="U154" s="65"/>
      <c r="V154" s="65"/>
      <c r="W154" s="65"/>
      <c r="X154" s="65"/>
      <c r="Y154" s="65"/>
      <c r="Z154" s="65"/>
      <c r="AA154" s="65"/>
      <c r="AB154" s="65"/>
      <c r="AC154" s="65"/>
      <c r="AD154" s="65"/>
      <c r="AE154" s="65"/>
      <c r="AF154" s="65"/>
      <c r="AG154" s="61" t="s">
        <v>4821</v>
      </c>
      <c r="AH154" s="62" t="s">
        <v>4822</v>
      </c>
      <c r="AI154" s="62" t="s">
        <v>4823</v>
      </c>
      <c r="AJ154" s="62" t="s">
        <v>4824</v>
      </c>
      <c r="AK154" s="62" t="s">
        <v>4825</v>
      </c>
      <c r="AL154" s="62" t="s">
        <v>4826</v>
      </c>
      <c r="AM154" s="62" t="s">
        <v>4827</v>
      </c>
      <c r="AN154" s="62" t="s">
        <v>4828</v>
      </c>
      <c r="AO154" s="62" t="s">
        <v>4829</v>
      </c>
      <c r="AP154" s="62" t="s">
        <v>4830</v>
      </c>
      <c r="AQ154" s="62" t="s">
        <v>4831</v>
      </c>
      <c r="AR154" s="62" t="s">
        <v>4832</v>
      </c>
      <c r="AS154" s="62" t="s">
        <v>4833</v>
      </c>
      <c r="AT154" s="62" t="s">
        <v>4834</v>
      </c>
      <c r="AU154" s="62" t="s">
        <v>4835</v>
      </c>
      <c r="AV154" s="63" t="s">
        <v>4836</v>
      </c>
    </row>
    <row r="155" spans="1:48">
      <c r="A155" s="64"/>
      <c r="B155" s="64"/>
      <c r="C155" s="64"/>
      <c r="D155" s="64"/>
      <c r="E155" s="64"/>
      <c r="F155" s="64"/>
      <c r="G155" s="65"/>
      <c r="H155" s="65"/>
      <c r="I155" s="65"/>
      <c r="J155" s="65"/>
      <c r="K155" s="65"/>
      <c r="L155" s="65"/>
      <c r="M155" s="65"/>
      <c r="N155" s="65"/>
      <c r="O155" s="65"/>
      <c r="P155" s="65"/>
      <c r="Q155" s="65"/>
      <c r="R155" s="65"/>
      <c r="S155" s="65"/>
      <c r="T155" s="65"/>
      <c r="U155" s="65"/>
      <c r="V155" s="65"/>
      <c r="W155" s="65"/>
      <c r="X155" s="65"/>
      <c r="Y155" s="65"/>
      <c r="Z155" s="65"/>
      <c r="AA155" s="65"/>
      <c r="AB155" s="65"/>
      <c r="AC155" s="65"/>
      <c r="AD155" s="65"/>
      <c r="AE155" s="65"/>
      <c r="AF155" s="65"/>
      <c r="AG155" s="61" t="s">
        <v>4837</v>
      </c>
      <c r="AH155" s="62" t="s">
        <v>4838</v>
      </c>
      <c r="AI155" s="62" t="s">
        <v>4839</v>
      </c>
      <c r="AJ155" s="62" t="s">
        <v>4840</v>
      </c>
      <c r="AK155" s="62" t="s">
        <v>4841</v>
      </c>
      <c r="AL155" s="62" t="s">
        <v>4842</v>
      </c>
      <c r="AM155" s="62" t="s">
        <v>4843</v>
      </c>
      <c r="AN155" s="62" t="s">
        <v>4844</v>
      </c>
      <c r="AO155" s="62" t="s">
        <v>4845</v>
      </c>
      <c r="AP155" s="62" t="s">
        <v>4846</v>
      </c>
      <c r="AQ155" s="62" t="s">
        <v>4847</v>
      </c>
      <c r="AR155" s="62" t="s">
        <v>4848</v>
      </c>
      <c r="AS155" s="62" t="s">
        <v>4849</v>
      </c>
      <c r="AT155" s="62" t="s">
        <v>4850</v>
      </c>
      <c r="AU155" s="62" t="s">
        <v>4851</v>
      </c>
      <c r="AV155" s="63" t="s">
        <v>4852</v>
      </c>
    </row>
    <row r="156" spans="1:48">
      <c r="A156" s="64"/>
      <c r="B156" s="64"/>
      <c r="C156" s="64"/>
      <c r="D156" s="64"/>
      <c r="E156" s="64"/>
      <c r="F156" s="64"/>
      <c r="G156" s="65"/>
      <c r="H156" s="65"/>
      <c r="I156" s="65"/>
      <c r="J156" s="65"/>
      <c r="K156" s="65"/>
      <c r="L156" s="65"/>
      <c r="M156" s="65"/>
      <c r="N156" s="65"/>
      <c r="O156" s="65"/>
      <c r="P156" s="65"/>
      <c r="Q156" s="65"/>
      <c r="R156" s="65"/>
      <c r="S156" s="65"/>
      <c r="T156" s="65"/>
      <c r="U156" s="65"/>
      <c r="V156" s="65"/>
      <c r="W156" s="65"/>
      <c r="X156" s="65"/>
      <c r="Y156" s="65"/>
      <c r="Z156" s="65"/>
      <c r="AA156" s="65"/>
      <c r="AB156" s="65"/>
      <c r="AC156" s="65"/>
      <c r="AD156" s="65"/>
      <c r="AE156" s="65"/>
      <c r="AF156" s="65"/>
      <c r="AG156" s="61" t="s">
        <v>4853</v>
      </c>
      <c r="AH156" s="62" t="s">
        <v>4854</v>
      </c>
      <c r="AI156" s="62" t="s">
        <v>4855</v>
      </c>
      <c r="AJ156" s="62" t="s">
        <v>4856</v>
      </c>
      <c r="AK156" s="62" t="s">
        <v>4857</v>
      </c>
      <c r="AL156" s="62" t="s">
        <v>4858</v>
      </c>
      <c r="AM156" s="62" t="s">
        <v>4859</v>
      </c>
      <c r="AN156" s="62" t="s">
        <v>4860</v>
      </c>
      <c r="AO156" s="62" t="s">
        <v>4861</v>
      </c>
      <c r="AP156" s="62" t="s">
        <v>4862</v>
      </c>
      <c r="AQ156" s="62" t="s">
        <v>4863</v>
      </c>
      <c r="AR156" s="62" t="s">
        <v>4864</v>
      </c>
      <c r="AS156" s="62" t="s">
        <v>4865</v>
      </c>
      <c r="AT156" s="62" t="s">
        <v>4866</v>
      </c>
      <c r="AU156" s="62" t="s">
        <v>4867</v>
      </c>
      <c r="AV156" s="63" t="s">
        <v>4868</v>
      </c>
    </row>
    <row r="157" spans="1:48">
      <c r="A157" s="64"/>
      <c r="B157" s="64"/>
      <c r="C157" s="64"/>
      <c r="D157" s="64"/>
      <c r="E157" s="64"/>
      <c r="F157" s="64"/>
      <c r="G157" s="65"/>
      <c r="H157" s="65"/>
      <c r="I157" s="65"/>
      <c r="J157" s="65"/>
      <c r="K157" s="65"/>
      <c r="L157" s="65"/>
      <c r="M157" s="65"/>
      <c r="N157" s="65"/>
      <c r="O157" s="65"/>
      <c r="P157" s="65"/>
      <c r="Q157" s="65"/>
      <c r="R157" s="65"/>
      <c r="S157" s="65"/>
      <c r="T157" s="65"/>
      <c r="U157" s="65"/>
      <c r="V157" s="65"/>
      <c r="W157" s="65"/>
      <c r="X157" s="65"/>
      <c r="Y157" s="65"/>
      <c r="Z157" s="65"/>
      <c r="AA157" s="65"/>
      <c r="AB157" s="65"/>
      <c r="AC157" s="65"/>
      <c r="AD157" s="65"/>
      <c r="AE157" s="65"/>
      <c r="AF157" s="65"/>
      <c r="AG157" s="61" t="s">
        <v>4869</v>
      </c>
      <c r="AH157" s="62" t="s">
        <v>4870</v>
      </c>
      <c r="AI157" s="62" t="s">
        <v>4871</v>
      </c>
      <c r="AJ157" s="62" t="s">
        <v>4872</v>
      </c>
      <c r="AK157" s="62" t="s">
        <v>4873</v>
      </c>
      <c r="AL157" s="62" t="s">
        <v>4874</v>
      </c>
      <c r="AM157" s="62" t="s">
        <v>4875</v>
      </c>
      <c r="AN157" s="62" t="s">
        <v>4876</v>
      </c>
      <c r="AO157" s="62" t="s">
        <v>4877</v>
      </c>
      <c r="AP157" s="62" t="s">
        <v>4878</v>
      </c>
      <c r="AQ157" s="62" t="s">
        <v>4879</v>
      </c>
      <c r="AR157" s="62" t="s">
        <v>4880</v>
      </c>
      <c r="AS157" s="62" t="s">
        <v>4881</v>
      </c>
      <c r="AT157" s="62" t="s">
        <v>4882</v>
      </c>
      <c r="AU157" s="62" t="s">
        <v>4883</v>
      </c>
      <c r="AV157" s="63" t="s">
        <v>4884</v>
      </c>
    </row>
    <row r="158" spans="1:48">
      <c r="A158" s="64"/>
      <c r="B158" s="64"/>
      <c r="C158" s="64"/>
      <c r="D158" s="64"/>
      <c r="E158" s="64"/>
      <c r="F158" s="64"/>
      <c r="G158" s="65"/>
      <c r="H158" s="65"/>
      <c r="I158" s="65"/>
      <c r="J158" s="65"/>
      <c r="K158" s="65"/>
      <c r="L158" s="65"/>
      <c r="M158" s="65"/>
      <c r="N158" s="65"/>
      <c r="O158" s="65"/>
      <c r="P158" s="65"/>
      <c r="Q158" s="65"/>
      <c r="R158" s="65"/>
      <c r="S158" s="65"/>
      <c r="T158" s="65"/>
      <c r="U158" s="65"/>
      <c r="V158" s="65"/>
      <c r="W158" s="65"/>
      <c r="X158" s="65"/>
      <c r="Y158" s="65"/>
      <c r="Z158" s="65"/>
      <c r="AA158" s="65"/>
      <c r="AB158" s="65"/>
      <c r="AC158" s="65"/>
      <c r="AD158" s="65"/>
      <c r="AE158" s="65"/>
      <c r="AF158" s="65"/>
      <c r="AG158" s="61" t="s">
        <v>4885</v>
      </c>
      <c r="AH158" s="62" t="s">
        <v>4886</v>
      </c>
      <c r="AI158" s="62" t="s">
        <v>4887</v>
      </c>
      <c r="AJ158" s="62" t="s">
        <v>4888</v>
      </c>
      <c r="AK158" s="62" t="s">
        <v>4889</v>
      </c>
      <c r="AL158" s="62" t="s">
        <v>4890</v>
      </c>
      <c r="AM158" s="62" t="s">
        <v>4891</v>
      </c>
      <c r="AN158" s="62" t="s">
        <v>4892</v>
      </c>
      <c r="AO158" s="62" t="s">
        <v>4893</v>
      </c>
      <c r="AP158" s="62" t="s">
        <v>4894</v>
      </c>
      <c r="AQ158" s="62" t="s">
        <v>4895</v>
      </c>
      <c r="AR158" s="62" t="s">
        <v>4896</v>
      </c>
      <c r="AS158" s="62" t="s">
        <v>4897</v>
      </c>
      <c r="AT158" s="62" t="s">
        <v>4898</v>
      </c>
      <c r="AU158" s="62" t="s">
        <v>4899</v>
      </c>
      <c r="AV158" s="63"/>
    </row>
    <row r="159" spans="1:48">
      <c r="A159" s="64"/>
      <c r="B159" s="64"/>
      <c r="C159" s="64"/>
      <c r="D159" s="64"/>
      <c r="E159" s="64"/>
      <c r="F159" s="64"/>
      <c r="G159" s="65"/>
      <c r="H159" s="65"/>
      <c r="I159" s="65"/>
      <c r="J159" s="65"/>
      <c r="K159" s="65"/>
      <c r="L159" s="65"/>
      <c r="M159" s="65"/>
      <c r="N159" s="65"/>
      <c r="O159" s="65"/>
      <c r="P159" s="65"/>
      <c r="Q159" s="65"/>
      <c r="R159" s="65"/>
      <c r="S159" s="65"/>
      <c r="T159" s="65"/>
      <c r="U159" s="65"/>
      <c r="V159" s="65"/>
      <c r="W159" s="65"/>
      <c r="X159" s="65"/>
      <c r="Y159" s="65"/>
      <c r="Z159" s="65"/>
      <c r="AA159" s="65"/>
      <c r="AB159" s="65"/>
      <c r="AC159" s="65"/>
      <c r="AD159" s="65"/>
      <c r="AE159" s="65"/>
      <c r="AF159" s="65"/>
      <c r="AG159" s="61"/>
      <c r="AH159" s="62" t="s">
        <v>4900</v>
      </c>
      <c r="AI159" s="62" t="s">
        <v>4901</v>
      </c>
      <c r="AJ159" s="62" t="s">
        <v>4902</v>
      </c>
      <c r="AK159" s="62" t="s">
        <v>4903</v>
      </c>
      <c r="AL159" s="62" t="s">
        <v>4904</v>
      </c>
      <c r="AM159" s="62" t="s">
        <v>4905</v>
      </c>
      <c r="AN159" s="62" t="s">
        <v>4906</v>
      </c>
      <c r="AO159" s="62" t="s">
        <v>4907</v>
      </c>
      <c r="AP159" s="62" t="s">
        <v>4908</v>
      </c>
      <c r="AQ159" s="62" t="s">
        <v>4909</v>
      </c>
      <c r="AR159" s="62" t="s">
        <v>4910</v>
      </c>
      <c r="AS159" s="62" t="s">
        <v>4911</v>
      </c>
      <c r="AT159" s="62" t="s">
        <v>4912</v>
      </c>
      <c r="AU159" s="62" t="s">
        <v>4913</v>
      </c>
      <c r="AV159" s="63" t="s">
        <v>4914</v>
      </c>
    </row>
    <row r="160" spans="1:48">
      <c r="A160" s="64"/>
      <c r="B160" s="64"/>
      <c r="C160" s="64"/>
      <c r="D160" s="64"/>
      <c r="E160" s="64"/>
      <c r="F160" s="64"/>
      <c r="G160" s="65"/>
      <c r="H160" s="65"/>
      <c r="I160" s="65"/>
      <c r="J160" s="65"/>
      <c r="K160" s="65"/>
      <c r="L160" s="65"/>
      <c r="M160" s="65"/>
      <c r="N160" s="65"/>
      <c r="O160" s="65"/>
      <c r="P160" s="65"/>
      <c r="Q160" s="65"/>
      <c r="R160" s="65"/>
      <c r="S160" s="65"/>
      <c r="T160" s="65"/>
      <c r="U160" s="65"/>
      <c r="V160" s="65"/>
      <c r="W160" s="65"/>
      <c r="X160" s="65"/>
      <c r="Y160" s="65"/>
      <c r="Z160" s="65"/>
      <c r="AA160" s="65"/>
      <c r="AB160" s="65"/>
      <c r="AC160" s="65"/>
      <c r="AD160" s="65"/>
      <c r="AE160" s="65"/>
      <c r="AF160" s="65"/>
      <c r="AG160" s="61" t="s">
        <v>4915</v>
      </c>
      <c r="AH160" s="62" t="s">
        <v>4916</v>
      </c>
      <c r="AI160" s="62" t="s">
        <v>4917</v>
      </c>
      <c r="AJ160" s="62" t="s">
        <v>4918</v>
      </c>
      <c r="AK160" s="62" t="s">
        <v>4919</v>
      </c>
      <c r="AL160" s="62" t="s">
        <v>4920</v>
      </c>
      <c r="AM160" s="62" t="s">
        <v>4921</v>
      </c>
      <c r="AN160" s="62" t="s">
        <v>4922</v>
      </c>
      <c r="AO160" s="62" t="s">
        <v>4923</v>
      </c>
      <c r="AP160" s="62" t="s">
        <v>4924</v>
      </c>
      <c r="AQ160" s="62" t="s">
        <v>4925</v>
      </c>
      <c r="AR160" s="62" t="s">
        <v>4926</v>
      </c>
      <c r="AS160" s="62" t="s">
        <v>4927</v>
      </c>
      <c r="AT160" s="62" t="s">
        <v>4928</v>
      </c>
      <c r="AU160" s="62" t="s">
        <v>4929</v>
      </c>
      <c r="AV160" s="63" t="s">
        <v>4930</v>
      </c>
    </row>
    <row r="161" spans="1:48">
      <c r="A161" s="64"/>
      <c r="B161" s="64"/>
      <c r="C161" s="64"/>
      <c r="D161" s="64"/>
      <c r="E161" s="64"/>
      <c r="F161" s="64"/>
      <c r="G161" s="65"/>
      <c r="H161" s="65"/>
      <c r="I161" s="65"/>
      <c r="J161" s="65"/>
      <c r="K161" s="65"/>
      <c r="L161" s="65"/>
      <c r="M161" s="65"/>
      <c r="N161" s="65"/>
      <c r="O161" s="65"/>
      <c r="P161" s="65"/>
      <c r="Q161" s="65"/>
      <c r="R161" s="65"/>
      <c r="S161" s="65"/>
      <c r="T161" s="65"/>
      <c r="U161" s="65"/>
      <c r="V161" s="65"/>
      <c r="W161" s="65"/>
      <c r="X161" s="65"/>
      <c r="Y161" s="65"/>
      <c r="Z161" s="65"/>
      <c r="AA161" s="65"/>
      <c r="AB161" s="65"/>
      <c r="AC161" s="65"/>
      <c r="AD161" s="65"/>
      <c r="AE161" s="65"/>
      <c r="AF161" s="65"/>
      <c r="AG161" s="66" t="s">
        <v>4931</v>
      </c>
      <c r="AH161" s="67" t="s">
        <v>4932</v>
      </c>
      <c r="AI161" s="67" t="s">
        <v>4933</v>
      </c>
      <c r="AJ161" s="67" t="s">
        <v>4934</v>
      </c>
      <c r="AK161" s="67" t="s">
        <v>4935</v>
      </c>
      <c r="AL161" s="67" t="s">
        <v>4936</v>
      </c>
      <c r="AM161" s="67" t="s">
        <v>4937</v>
      </c>
      <c r="AN161" s="67" t="s">
        <v>4938</v>
      </c>
      <c r="AO161" s="67" t="s">
        <v>4939</v>
      </c>
      <c r="AP161" s="67" t="s">
        <v>4940</v>
      </c>
      <c r="AQ161" s="67" t="s">
        <v>4941</v>
      </c>
      <c r="AR161" s="67" t="s">
        <v>4942</v>
      </c>
      <c r="AS161" s="67" t="s">
        <v>4943</v>
      </c>
      <c r="AT161" s="67" t="s">
        <v>4944</v>
      </c>
      <c r="AU161" s="67" t="s">
        <v>4945</v>
      </c>
      <c r="AV161" s="68" t="s">
        <v>4946</v>
      </c>
    </row>
    <row r="162" spans="1:48">
      <c r="A162" s="64"/>
      <c r="B162" s="64"/>
      <c r="C162" s="64"/>
      <c r="D162" s="64"/>
      <c r="E162" s="64"/>
      <c r="F162" s="64"/>
      <c r="G162" s="65"/>
      <c r="H162" s="65"/>
      <c r="I162" s="65"/>
      <c r="J162" s="65"/>
      <c r="K162" s="65"/>
      <c r="L162" s="65"/>
      <c r="M162" s="65"/>
      <c r="N162" s="65"/>
      <c r="O162" s="65"/>
      <c r="P162" s="65"/>
      <c r="Q162" s="65"/>
      <c r="R162" s="65"/>
      <c r="S162" s="65"/>
      <c r="T162" s="65"/>
      <c r="U162" s="65"/>
      <c r="V162" s="65"/>
      <c r="W162" s="65"/>
      <c r="X162" s="65"/>
      <c r="Y162" s="65"/>
      <c r="Z162" s="65"/>
      <c r="AA162" s="65"/>
      <c r="AB162" s="65"/>
      <c r="AC162" s="65"/>
      <c r="AD162" s="65"/>
      <c r="AE162" s="65"/>
      <c r="AF162" s="65"/>
      <c r="AG162" s="58" t="s">
        <v>4947</v>
      </c>
      <c r="AH162" s="59" t="s">
        <v>4948</v>
      </c>
      <c r="AI162" s="59" t="s">
        <v>4949</v>
      </c>
      <c r="AJ162" s="59" t="s">
        <v>4950</v>
      </c>
      <c r="AK162" s="59" t="s">
        <v>4951</v>
      </c>
      <c r="AL162" s="59" t="s">
        <v>4952</v>
      </c>
      <c r="AM162" s="59" t="s">
        <v>4953</v>
      </c>
      <c r="AN162" s="59" t="s">
        <v>4954</v>
      </c>
      <c r="AO162" s="59" t="s">
        <v>4955</v>
      </c>
      <c r="AP162" s="59" t="s">
        <v>4956</v>
      </c>
      <c r="AQ162" s="59" t="s">
        <v>4957</v>
      </c>
      <c r="AR162" s="59" t="s">
        <v>4958</v>
      </c>
      <c r="AS162" s="59" t="s">
        <v>4959</v>
      </c>
      <c r="AT162" s="59" t="s">
        <v>4960</v>
      </c>
      <c r="AU162" s="59" t="s">
        <v>4961</v>
      </c>
      <c r="AV162" s="60" t="s">
        <v>4962</v>
      </c>
    </row>
    <row r="163" spans="1:48">
      <c r="A163" s="64"/>
      <c r="B163" s="64"/>
      <c r="C163" s="64"/>
      <c r="D163" s="64"/>
      <c r="E163" s="64"/>
      <c r="F163" s="64"/>
      <c r="G163" s="65"/>
      <c r="H163" s="65"/>
      <c r="I163" s="65"/>
      <c r="J163" s="65"/>
      <c r="K163" s="65"/>
      <c r="L163" s="65"/>
      <c r="M163" s="65"/>
      <c r="N163" s="65"/>
      <c r="O163" s="65"/>
      <c r="P163" s="65"/>
      <c r="Q163" s="65"/>
      <c r="R163" s="65"/>
      <c r="S163" s="65"/>
      <c r="T163" s="65"/>
      <c r="U163" s="65"/>
      <c r="V163" s="65"/>
      <c r="W163" s="65"/>
      <c r="X163" s="65"/>
      <c r="Y163" s="65"/>
      <c r="Z163" s="65"/>
      <c r="AA163" s="65"/>
      <c r="AB163" s="65"/>
      <c r="AC163" s="65"/>
      <c r="AD163" s="65"/>
      <c r="AE163" s="65"/>
      <c r="AF163" s="65"/>
      <c r="AG163" s="61" t="s">
        <v>4963</v>
      </c>
      <c r="AH163" s="62" t="s">
        <v>4964</v>
      </c>
      <c r="AI163" s="62" t="s">
        <v>4965</v>
      </c>
      <c r="AJ163" s="62" t="s">
        <v>4966</v>
      </c>
      <c r="AK163" s="62" t="s">
        <v>4967</v>
      </c>
      <c r="AL163" s="62" t="s">
        <v>4968</v>
      </c>
      <c r="AM163" s="62" t="s">
        <v>4969</v>
      </c>
      <c r="AN163" s="62" t="s">
        <v>4970</v>
      </c>
      <c r="AO163" s="62" t="s">
        <v>4971</v>
      </c>
      <c r="AP163" s="62" t="s">
        <v>4972</v>
      </c>
      <c r="AQ163" s="62" t="s">
        <v>4973</v>
      </c>
      <c r="AR163" s="62" t="s">
        <v>4974</v>
      </c>
      <c r="AS163" s="62" t="s">
        <v>4975</v>
      </c>
      <c r="AT163" s="62" t="s">
        <v>4976</v>
      </c>
      <c r="AU163" s="62" t="s">
        <v>4977</v>
      </c>
      <c r="AV163" s="63" t="s">
        <v>4978</v>
      </c>
    </row>
    <row r="164" spans="1:48">
      <c r="A164" s="64"/>
      <c r="B164" s="64"/>
      <c r="C164" s="64"/>
      <c r="D164" s="64"/>
      <c r="E164" s="64"/>
      <c r="F164" s="64"/>
      <c r="G164" s="65"/>
      <c r="H164" s="65"/>
      <c r="I164" s="65"/>
      <c r="J164" s="65"/>
      <c r="K164" s="65"/>
      <c r="L164" s="65"/>
      <c r="M164" s="65"/>
      <c r="N164" s="65"/>
      <c r="O164" s="65"/>
      <c r="P164" s="65"/>
      <c r="Q164" s="65"/>
      <c r="R164" s="65"/>
      <c r="S164" s="65"/>
      <c r="T164" s="65"/>
      <c r="U164" s="65"/>
      <c r="V164" s="65"/>
      <c r="W164" s="65"/>
      <c r="X164" s="65"/>
      <c r="Y164" s="65"/>
      <c r="Z164" s="65"/>
      <c r="AA164" s="65"/>
      <c r="AB164" s="65"/>
      <c r="AC164" s="65"/>
      <c r="AD164" s="65"/>
      <c r="AE164" s="65"/>
      <c r="AF164" s="65"/>
      <c r="AG164" s="61" t="s">
        <v>4979</v>
      </c>
      <c r="AH164" s="62" t="s">
        <v>4980</v>
      </c>
      <c r="AI164" s="62" t="s">
        <v>4981</v>
      </c>
      <c r="AJ164" s="62" t="s">
        <v>4982</v>
      </c>
      <c r="AK164" s="62" t="s">
        <v>4983</v>
      </c>
      <c r="AL164" s="62" t="s">
        <v>4984</v>
      </c>
      <c r="AM164" s="62" t="s">
        <v>4985</v>
      </c>
      <c r="AN164" s="62" t="s">
        <v>4986</v>
      </c>
      <c r="AO164" s="62" t="s">
        <v>4987</v>
      </c>
      <c r="AP164" s="62" t="s">
        <v>4988</v>
      </c>
      <c r="AQ164" s="62" t="s">
        <v>4989</v>
      </c>
      <c r="AR164" s="62" t="s">
        <v>4990</v>
      </c>
      <c r="AS164" s="62" t="s">
        <v>4991</v>
      </c>
      <c r="AT164" s="62" t="s">
        <v>4992</v>
      </c>
      <c r="AU164" s="62" t="s">
        <v>4993</v>
      </c>
      <c r="AV164" s="63"/>
    </row>
    <row r="165" spans="1:48">
      <c r="A165" s="64"/>
      <c r="B165" s="64"/>
      <c r="C165" s="64"/>
      <c r="D165" s="64"/>
      <c r="E165" s="64"/>
      <c r="F165" s="64"/>
      <c r="G165" s="65"/>
      <c r="H165" s="65"/>
      <c r="I165" s="65"/>
      <c r="J165" s="65"/>
      <c r="K165" s="65"/>
      <c r="L165" s="65"/>
      <c r="M165" s="65"/>
      <c r="N165" s="65"/>
      <c r="O165" s="65"/>
      <c r="P165" s="65"/>
      <c r="Q165" s="65"/>
      <c r="R165" s="65"/>
      <c r="S165" s="65"/>
      <c r="T165" s="65"/>
      <c r="U165" s="65"/>
      <c r="V165" s="65"/>
      <c r="W165" s="65"/>
      <c r="X165" s="65"/>
      <c r="Y165" s="65"/>
      <c r="Z165" s="65"/>
      <c r="AA165" s="65"/>
      <c r="AB165" s="65"/>
      <c r="AC165" s="65"/>
      <c r="AD165" s="65"/>
      <c r="AE165" s="65"/>
      <c r="AF165" s="65"/>
      <c r="AG165" s="61"/>
      <c r="AH165" s="62" t="s">
        <v>4994</v>
      </c>
      <c r="AI165" s="62" t="s">
        <v>4995</v>
      </c>
      <c r="AJ165" s="62" t="s">
        <v>4996</v>
      </c>
      <c r="AK165" s="62" t="s">
        <v>4997</v>
      </c>
      <c r="AL165" s="62" t="s">
        <v>4998</v>
      </c>
      <c r="AM165" s="62" t="s">
        <v>4999</v>
      </c>
      <c r="AN165" s="62" t="s">
        <v>5000</v>
      </c>
      <c r="AO165" s="62" t="s">
        <v>5001</v>
      </c>
      <c r="AP165" s="62" t="s">
        <v>5002</v>
      </c>
      <c r="AQ165" s="62" t="s">
        <v>5003</v>
      </c>
      <c r="AR165" s="62" t="s">
        <v>5004</v>
      </c>
      <c r="AS165" s="62" t="s">
        <v>5005</v>
      </c>
      <c r="AT165" s="62" t="s">
        <v>5006</v>
      </c>
      <c r="AU165" s="62" t="s">
        <v>5007</v>
      </c>
      <c r="AV165" s="63" t="s">
        <v>5008</v>
      </c>
    </row>
    <row r="166" spans="1:48">
      <c r="A166" s="64"/>
      <c r="B166" s="64"/>
      <c r="C166" s="64"/>
      <c r="D166" s="64"/>
      <c r="E166" s="64"/>
      <c r="F166" s="64"/>
      <c r="G166" s="65"/>
      <c r="H166" s="65"/>
      <c r="I166" s="65"/>
      <c r="J166" s="65"/>
      <c r="K166" s="65"/>
      <c r="L166" s="65"/>
      <c r="M166" s="65"/>
      <c r="N166" s="65"/>
      <c r="O166" s="65"/>
      <c r="P166" s="65"/>
      <c r="Q166" s="65"/>
      <c r="R166" s="65"/>
      <c r="S166" s="65"/>
      <c r="T166" s="65"/>
      <c r="U166" s="65"/>
      <c r="V166" s="65"/>
      <c r="W166" s="65"/>
      <c r="X166" s="65"/>
      <c r="Y166" s="65"/>
      <c r="Z166" s="65"/>
      <c r="AA166" s="65"/>
      <c r="AB166" s="65"/>
      <c r="AC166" s="65"/>
      <c r="AD166" s="65"/>
      <c r="AE166" s="65"/>
      <c r="AF166" s="65"/>
      <c r="AG166" s="61" t="s">
        <v>5009</v>
      </c>
      <c r="AH166" s="62" t="s">
        <v>5010</v>
      </c>
      <c r="AI166" s="62" t="s">
        <v>5011</v>
      </c>
      <c r="AJ166" s="62" t="s">
        <v>5012</v>
      </c>
      <c r="AK166" s="62" t="s">
        <v>5013</v>
      </c>
      <c r="AL166" s="62" t="s">
        <v>5014</v>
      </c>
      <c r="AM166" s="62" t="s">
        <v>5015</v>
      </c>
      <c r="AN166" s="62" t="s">
        <v>5016</v>
      </c>
      <c r="AO166" s="62" t="s">
        <v>5017</v>
      </c>
      <c r="AP166" s="62" t="s">
        <v>5018</v>
      </c>
      <c r="AQ166" s="62" t="s">
        <v>5019</v>
      </c>
      <c r="AR166" s="62" t="s">
        <v>5020</v>
      </c>
      <c r="AS166" s="62" t="s">
        <v>5021</v>
      </c>
      <c r="AT166" s="62" t="s">
        <v>5022</v>
      </c>
      <c r="AU166" s="62" t="s">
        <v>5023</v>
      </c>
      <c r="AV166" s="63" t="s">
        <v>5024</v>
      </c>
    </row>
    <row r="167" spans="1:48">
      <c r="A167" s="64"/>
      <c r="B167" s="64"/>
      <c r="C167" s="64"/>
      <c r="D167" s="64"/>
      <c r="E167" s="64"/>
      <c r="F167" s="64"/>
      <c r="G167" s="65"/>
      <c r="H167" s="65"/>
      <c r="I167" s="65"/>
      <c r="J167" s="65"/>
      <c r="K167" s="65"/>
      <c r="L167" s="65"/>
      <c r="M167" s="65"/>
      <c r="N167" s="65"/>
      <c r="O167" s="65"/>
      <c r="P167" s="65"/>
      <c r="Q167" s="65"/>
      <c r="R167" s="65"/>
      <c r="S167" s="65"/>
      <c r="T167" s="65"/>
      <c r="U167" s="65"/>
      <c r="V167" s="65"/>
      <c r="W167" s="65"/>
      <c r="X167" s="65"/>
      <c r="Y167" s="65"/>
      <c r="Z167" s="65"/>
      <c r="AA167" s="65"/>
      <c r="AB167" s="65"/>
      <c r="AC167" s="65"/>
      <c r="AD167" s="65"/>
      <c r="AE167" s="65"/>
      <c r="AF167" s="65"/>
      <c r="AG167" s="61"/>
      <c r="AH167" s="62"/>
      <c r="AI167" s="62"/>
      <c r="AJ167" s="62"/>
      <c r="AK167" s="62"/>
      <c r="AL167" s="62"/>
      <c r="AM167" s="62"/>
      <c r="AN167" s="62"/>
      <c r="AO167" s="62"/>
      <c r="AP167" s="62"/>
      <c r="AQ167" s="62"/>
      <c r="AR167" s="62"/>
      <c r="AS167" s="62"/>
      <c r="AT167" s="62"/>
      <c r="AU167" s="62"/>
      <c r="AV167" s="63"/>
    </row>
    <row r="168" spans="1:48">
      <c r="A168" s="64"/>
      <c r="B168" s="64"/>
      <c r="C168" s="64"/>
      <c r="D168" s="64"/>
      <c r="E168" s="64"/>
      <c r="F168" s="64"/>
      <c r="G168" s="65"/>
      <c r="H168" s="65"/>
      <c r="I168" s="65"/>
      <c r="J168" s="65"/>
      <c r="K168" s="65"/>
      <c r="L168" s="65"/>
      <c r="M168" s="65"/>
      <c r="N168" s="65"/>
      <c r="O168" s="65"/>
      <c r="P168" s="65"/>
      <c r="Q168" s="65"/>
      <c r="R168" s="65"/>
      <c r="S168" s="65"/>
      <c r="T168" s="65"/>
      <c r="U168" s="65"/>
      <c r="V168" s="65"/>
      <c r="W168" s="65"/>
      <c r="X168" s="65"/>
      <c r="Y168" s="65"/>
      <c r="Z168" s="65"/>
      <c r="AA168" s="65"/>
      <c r="AB168" s="65"/>
      <c r="AC168" s="65"/>
      <c r="AD168" s="65"/>
      <c r="AE168" s="65"/>
      <c r="AF168" s="65"/>
      <c r="AG168" s="61" t="s">
        <v>5025</v>
      </c>
      <c r="AH168" s="62" t="s">
        <v>5026</v>
      </c>
      <c r="AI168" s="62" t="s">
        <v>5027</v>
      </c>
      <c r="AJ168" s="62" t="s">
        <v>5028</v>
      </c>
      <c r="AK168" s="62" t="s">
        <v>5029</v>
      </c>
      <c r="AL168" s="62" t="s">
        <v>5030</v>
      </c>
      <c r="AM168" s="62" t="s">
        <v>5031</v>
      </c>
      <c r="AN168" s="62" t="s">
        <v>5032</v>
      </c>
      <c r="AO168" s="62" t="s">
        <v>5033</v>
      </c>
      <c r="AP168" s="62" t="s">
        <v>5034</v>
      </c>
      <c r="AQ168" s="62" t="s">
        <v>5035</v>
      </c>
      <c r="AR168" s="62" t="s">
        <v>5036</v>
      </c>
      <c r="AS168" s="62" t="s">
        <v>5037</v>
      </c>
      <c r="AT168" s="62" t="s">
        <v>5038</v>
      </c>
      <c r="AU168" s="62" t="s">
        <v>5039</v>
      </c>
      <c r="AV168" s="63" t="s">
        <v>5040</v>
      </c>
    </row>
    <row r="169" spans="1:48">
      <c r="A169" s="64"/>
      <c r="B169" s="64"/>
      <c r="C169" s="64"/>
      <c r="D169" s="64"/>
      <c r="E169" s="64"/>
      <c r="F169" s="64"/>
      <c r="G169" s="65"/>
      <c r="H169" s="65"/>
      <c r="I169" s="65"/>
      <c r="J169" s="65"/>
      <c r="K169" s="65"/>
      <c r="L169" s="65"/>
      <c r="M169" s="65"/>
      <c r="N169" s="65"/>
      <c r="O169" s="65"/>
      <c r="P169" s="65"/>
      <c r="Q169" s="65"/>
      <c r="R169" s="65"/>
      <c r="S169" s="65"/>
      <c r="T169" s="65"/>
      <c r="U169" s="65"/>
      <c r="V169" s="65"/>
      <c r="W169" s="65"/>
      <c r="X169" s="65"/>
      <c r="Y169" s="65"/>
      <c r="Z169" s="65"/>
      <c r="AA169" s="65"/>
      <c r="AB169" s="65"/>
      <c r="AC169" s="65"/>
      <c r="AD169" s="65"/>
      <c r="AE169" s="65"/>
      <c r="AF169" s="65"/>
      <c r="AG169" s="61" t="s">
        <v>5041</v>
      </c>
      <c r="AH169" s="62" t="s">
        <v>5042</v>
      </c>
      <c r="AI169" s="62" t="s">
        <v>5043</v>
      </c>
      <c r="AJ169" s="62" t="s">
        <v>5044</v>
      </c>
      <c r="AK169" s="62" t="s">
        <v>5045</v>
      </c>
      <c r="AL169" s="62" t="s">
        <v>5046</v>
      </c>
      <c r="AM169" s="62" t="s">
        <v>5047</v>
      </c>
      <c r="AN169" s="62" t="s">
        <v>5048</v>
      </c>
      <c r="AO169" s="62" t="s">
        <v>5049</v>
      </c>
      <c r="AP169" s="62" t="s">
        <v>5050</v>
      </c>
      <c r="AQ169" s="62" t="s">
        <v>5051</v>
      </c>
      <c r="AR169" s="62" t="s">
        <v>5052</v>
      </c>
      <c r="AS169" s="62" t="s">
        <v>5053</v>
      </c>
      <c r="AT169" s="62" t="s">
        <v>5054</v>
      </c>
      <c r="AU169" s="62" t="s">
        <v>5055</v>
      </c>
      <c r="AV169" s="63" t="s">
        <v>5056</v>
      </c>
    </row>
    <row r="170" spans="1:48">
      <c r="A170" s="64"/>
      <c r="B170" s="64"/>
      <c r="C170" s="64"/>
      <c r="D170" s="64"/>
      <c r="E170" s="64"/>
      <c r="F170" s="64"/>
      <c r="G170" s="65"/>
      <c r="H170" s="65"/>
      <c r="I170" s="65"/>
      <c r="J170" s="65"/>
      <c r="K170" s="65"/>
      <c r="L170" s="65"/>
      <c r="M170" s="65"/>
      <c r="N170" s="65"/>
      <c r="O170" s="65"/>
      <c r="P170" s="65"/>
      <c r="Q170" s="65"/>
      <c r="R170" s="65"/>
      <c r="S170" s="65"/>
      <c r="T170" s="65"/>
      <c r="U170" s="65"/>
      <c r="V170" s="65"/>
      <c r="W170" s="65"/>
      <c r="X170" s="65"/>
      <c r="Y170" s="65"/>
      <c r="Z170" s="65"/>
      <c r="AA170" s="65"/>
      <c r="AB170" s="65"/>
      <c r="AC170" s="65"/>
      <c r="AD170" s="65"/>
      <c r="AE170" s="65"/>
      <c r="AF170" s="65"/>
      <c r="AG170" s="61" t="s">
        <v>5057</v>
      </c>
      <c r="AH170" s="62" t="s">
        <v>5058</v>
      </c>
      <c r="AI170" s="62" t="s">
        <v>5059</v>
      </c>
      <c r="AJ170" s="62" t="s">
        <v>5060</v>
      </c>
      <c r="AK170" s="62" t="s">
        <v>5061</v>
      </c>
      <c r="AL170" s="62" t="s">
        <v>5062</v>
      </c>
      <c r="AM170" s="62" t="s">
        <v>5063</v>
      </c>
      <c r="AN170" s="62" t="s">
        <v>5064</v>
      </c>
      <c r="AO170" s="62" t="s">
        <v>5065</v>
      </c>
      <c r="AP170" s="62" t="s">
        <v>5066</v>
      </c>
      <c r="AQ170" s="62" t="s">
        <v>5067</v>
      </c>
      <c r="AR170" s="62" t="s">
        <v>5068</v>
      </c>
      <c r="AS170" s="62" t="s">
        <v>5069</v>
      </c>
      <c r="AT170" s="62" t="s">
        <v>5070</v>
      </c>
      <c r="AU170" s="62" t="s">
        <v>5071</v>
      </c>
      <c r="AV170" s="63" t="s">
        <v>5072</v>
      </c>
    </row>
    <row r="171" spans="1:48">
      <c r="A171" s="64"/>
      <c r="B171" s="64"/>
      <c r="C171" s="64"/>
      <c r="D171" s="64"/>
      <c r="E171" s="64"/>
      <c r="F171" s="64"/>
      <c r="G171" s="65"/>
      <c r="H171" s="65"/>
      <c r="I171" s="65"/>
      <c r="J171" s="65"/>
      <c r="K171" s="65"/>
      <c r="L171" s="65"/>
      <c r="M171" s="65"/>
      <c r="N171" s="65"/>
      <c r="O171" s="65"/>
      <c r="P171" s="65"/>
      <c r="Q171" s="65"/>
      <c r="R171" s="65"/>
      <c r="S171" s="65"/>
      <c r="T171" s="65"/>
      <c r="U171" s="65"/>
      <c r="V171" s="65"/>
      <c r="W171" s="65"/>
      <c r="X171" s="65"/>
      <c r="Y171" s="65"/>
      <c r="Z171" s="65"/>
      <c r="AA171" s="65"/>
      <c r="AB171" s="65"/>
      <c r="AC171" s="65"/>
      <c r="AD171" s="65"/>
      <c r="AE171" s="65"/>
      <c r="AF171" s="65"/>
      <c r="AG171" s="61" t="s">
        <v>5073</v>
      </c>
      <c r="AH171" s="62" t="s">
        <v>5074</v>
      </c>
      <c r="AI171" s="62" t="s">
        <v>5075</v>
      </c>
      <c r="AJ171" s="62" t="s">
        <v>5076</v>
      </c>
      <c r="AK171" s="62" t="s">
        <v>5077</v>
      </c>
      <c r="AL171" s="62" t="s">
        <v>5078</v>
      </c>
      <c r="AM171" s="62" t="s">
        <v>5079</v>
      </c>
      <c r="AN171" s="62" t="s">
        <v>5080</v>
      </c>
      <c r="AO171" s="62" t="s">
        <v>5081</v>
      </c>
      <c r="AP171" s="62" t="s">
        <v>5082</v>
      </c>
      <c r="AQ171" s="62" t="s">
        <v>5083</v>
      </c>
      <c r="AR171" s="62" t="s">
        <v>5084</v>
      </c>
      <c r="AS171" s="62" t="s">
        <v>5085</v>
      </c>
      <c r="AT171" s="62" t="s">
        <v>5086</v>
      </c>
      <c r="AU171" s="62" t="s">
        <v>5087</v>
      </c>
      <c r="AV171" s="63"/>
    </row>
    <row r="172" spans="1:48">
      <c r="A172" s="64"/>
      <c r="B172" s="64"/>
      <c r="C172" s="64"/>
      <c r="D172" s="64"/>
      <c r="E172" s="64"/>
      <c r="F172" s="64"/>
      <c r="G172" s="65"/>
      <c r="H172" s="65"/>
      <c r="I172" s="65"/>
      <c r="J172" s="65"/>
      <c r="K172" s="65"/>
      <c r="L172" s="65"/>
      <c r="M172" s="65"/>
      <c r="N172" s="65"/>
      <c r="O172" s="65"/>
      <c r="P172" s="65"/>
      <c r="Q172" s="65"/>
      <c r="R172" s="65"/>
      <c r="S172" s="65"/>
      <c r="T172" s="65"/>
      <c r="U172" s="65"/>
      <c r="V172" s="65"/>
      <c r="W172" s="65"/>
      <c r="X172" s="65"/>
      <c r="Y172" s="65"/>
      <c r="Z172" s="65"/>
      <c r="AA172" s="65"/>
      <c r="AB172" s="65"/>
      <c r="AC172" s="65"/>
      <c r="AD172" s="65"/>
      <c r="AE172" s="65"/>
      <c r="AF172" s="65"/>
      <c r="AG172" s="61"/>
      <c r="AH172" s="62" t="s">
        <v>5088</v>
      </c>
      <c r="AI172" s="62" t="s">
        <v>5089</v>
      </c>
      <c r="AJ172" s="62" t="s">
        <v>5090</v>
      </c>
      <c r="AK172" s="62" t="s">
        <v>5091</v>
      </c>
      <c r="AL172" s="62" t="s">
        <v>5092</v>
      </c>
      <c r="AM172" s="62" t="s">
        <v>5093</v>
      </c>
      <c r="AN172" s="62" t="s">
        <v>5094</v>
      </c>
      <c r="AO172" s="62" t="s">
        <v>5095</v>
      </c>
      <c r="AP172" s="62" t="s">
        <v>5096</v>
      </c>
      <c r="AQ172" s="62" t="s">
        <v>5097</v>
      </c>
      <c r="AR172" s="62" t="s">
        <v>5098</v>
      </c>
      <c r="AS172" s="62" t="s">
        <v>5099</v>
      </c>
      <c r="AT172" s="62" t="s">
        <v>5100</v>
      </c>
      <c r="AU172" s="62" t="s">
        <v>5101</v>
      </c>
      <c r="AV172" s="63" t="s">
        <v>5102</v>
      </c>
    </row>
    <row r="173" spans="1:48">
      <c r="A173" s="64"/>
      <c r="B173" s="64"/>
      <c r="C173" s="64"/>
      <c r="D173" s="64"/>
      <c r="E173" s="64"/>
      <c r="F173" s="64"/>
      <c r="G173" s="65"/>
      <c r="H173" s="65"/>
      <c r="I173" s="65"/>
      <c r="J173" s="65"/>
      <c r="K173" s="65"/>
      <c r="L173" s="65"/>
      <c r="M173" s="65"/>
      <c r="N173" s="65"/>
      <c r="O173" s="65"/>
      <c r="P173" s="65"/>
      <c r="Q173" s="65"/>
      <c r="R173" s="65"/>
      <c r="S173" s="65"/>
      <c r="T173" s="65"/>
      <c r="U173" s="65"/>
      <c r="V173" s="65"/>
      <c r="W173" s="65"/>
      <c r="X173" s="65"/>
      <c r="Y173" s="65"/>
      <c r="Z173" s="65"/>
      <c r="AA173" s="65"/>
      <c r="AB173" s="65"/>
      <c r="AC173" s="65"/>
      <c r="AD173" s="65"/>
      <c r="AE173" s="65"/>
      <c r="AF173" s="65"/>
      <c r="AG173" s="61" t="s">
        <v>5103</v>
      </c>
      <c r="AH173" s="62" t="s">
        <v>5104</v>
      </c>
      <c r="AI173" s="62" t="s">
        <v>5105</v>
      </c>
      <c r="AJ173" s="62" t="s">
        <v>5106</v>
      </c>
      <c r="AK173" s="62" t="s">
        <v>5107</v>
      </c>
      <c r="AL173" s="62" t="s">
        <v>5108</v>
      </c>
      <c r="AM173" s="62" t="s">
        <v>5109</v>
      </c>
      <c r="AN173" s="62" t="s">
        <v>5110</v>
      </c>
      <c r="AO173" s="62" t="s">
        <v>5111</v>
      </c>
      <c r="AP173" s="62" t="s">
        <v>5112</v>
      </c>
      <c r="AQ173" s="62" t="s">
        <v>5113</v>
      </c>
      <c r="AR173" s="62" t="s">
        <v>5114</v>
      </c>
      <c r="AS173" s="62" t="s">
        <v>5115</v>
      </c>
      <c r="AT173" s="62" t="s">
        <v>5116</v>
      </c>
      <c r="AU173" s="62" t="s">
        <v>5117</v>
      </c>
      <c r="AV173" s="63" t="s">
        <v>5118</v>
      </c>
    </row>
    <row r="174" spans="1:48">
      <c r="A174" s="64"/>
      <c r="B174" s="64"/>
      <c r="C174" s="64"/>
      <c r="D174" s="64"/>
      <c r="E174" s="64"/>
      <c r="F174" s="64"/>
      <c r="G174" s="65"/>
      <c r="H174" s="65"/>
      <c r="I174" s="65"/>
      <c r="J174" s="65"/>
      <c r="K174" s="65"/>
      <c r="L174" s="65"/>
      <c r="M174" s="65"/>
      <c r="N174" s="65"/>
      <c r="O174" s="65"/>
      <c r="P174" s="65"/>
      <c r="Q174" s="65"/>
      <c r="R174" s="65"/>
      <c r="S174" s="65"/>
      <c r="T174" s="65"/>
      <c r="U174" s="65"/>
      <c r="V174" s="65"/>
      <c r="W174" s="65"/>
      <c r="X174" s="65"/>
      <c r="Y174" s="65"/>
      <c r="Z174" s="65"/>
      <c r="AA174" s="65"/>
      <c r="AB174" s="65"/>
      <c r="AC174" s="65"/>
      <c r="AD174" s="65"/>
      <c r="AE174" s="65"/>
      <c r="AF174" s="65"/>
      <c r="AG174" s="61" t="s">
        <v>5119</v>
      </c>
      <c r="AH174" s="62" t="s">
        <v>5120</v>
      </c>
      <c r="AI174" s="62" t="s">
        <v>5121</v>
      </c>
      <c r="AJ174" s="62" t="s">
        <v>5122</v>
      </c>
      <c r="AK174" s="62" t="s">
        <v>5123</v>
      </c>
      <c r="AL174" s="62" t="s">
        <v>5124</v>
      </c>
      <c r="AM174" s="62" t="s">
        <v>5125</v>
      </c>
      <c r="AN174" s="62" t="s">
        <v>5126</v>
      </c>
      <c r="AO174" s="62" t="s">
        <v>5127</v>
      </c>
      <c r="AP174" s="62" t="s">
        <v>5128</v>
      </c>
      <c r="AQ174" s="62" t="s">
        <v>5129</v>
      </c>
      <c r="AR174" s="62" t="s">
        <v>5130</v>
      </c>
      <c r="AS174" s="62" t="s">
        <v>5131</v>
      </c>
      <c r="AT174" s="62" t="s">
        <v>5132</v>
      </c>
      <c r="AU174" s="62" t="s">
        <v>5133</v>
      </c>
      <c r="AV174" s="63" t="s">
        <v>5134</v>
      </c>
    </row>
    <row r="175" spans="1:48">
      <c r="A175" s="64"/>
      <c r="B175" s="64"/>
      <c r="C175" s="64"/>
      <c r="D175" s="64"/>
      <c r="E175" s="64"/>
      <c r="F175" s="64"/>
      <c r="G175" s="65"/>
      <c r="H175" s="65"/>
      <c r="I175" s="65"/>
      <c r="J175" s="65"/>
      <c r="K175" s="65"/>
      <c r="L175" s="65"/>
      <c r="M175" s="65"/>
      <c r="N175" s="65"/>
      <c r="O175" s="65"/>
      <c r="P175" s="65"/>
      <c r="Q175" s="65"/>
      <c r="R175" s="65"/>
      <c r="S175" s="65"/>
      <c r="T175" s="65"/>
      <c r="U175" s="65"/>
      <c r="V175" s="65"/>
      <c r="W175" s="65"/>
      <c r="X175" s="65"/>
      <c r="Y175" s="65"/>
      <c r="Z175" s="65"/>
      <c r="AA175" s="65"/>
      <c r="AB175" s="65"/>
      <c r="AC175" s="65"/>
      <c r="AD175" s="65"/>
      <c r="AE175" s="65"/>
      <c r="AF175" s="65"/>
      <c r="AG175" s="61" t="s">
        <v>5135</v>
      </c>
      <c r="AH175" s="62" t="s">
        <v>5136</v>
      </c>
      <c r="AI175" s="62" t="s">
        <v>5137</v>
      </c>
      <c r="AJ175" s="62" t="s">
        <v>5138</v>
      </c>
      <c r="AK175" s="62" t="s">
        <v>5139</v>
      </c>
      <c r="AL175" s="62" t="s">
        <v>5140</v>
      </c>
      <c r="AM175" s="62" t="s">
        <v>5141</v>
      </c>
      <c r="AN175" s="62" t="s">
        <v>5142</v>
      </c>
      <c r="AO175" s="62" t="s">
        <v>5143</v>
      </c>
      <c r="AP175" s="62" t="s">
        <v>5144</v>
      </c>
      <c r="AQ175" s="62" t="s">
        <v>5145</v>
      </c>
      <c r="AR175" s="62" t="s">
        <v>5146</v>
      </c>
      <c r="AS175" s="62" t="s">
        <v>5147</v>
      </c>
      <c r="AT175" s="62" t="s">
        <v>5148</v>
      </c>
      <c r="AU175" s="62" t="s">
        <v>5149</v>
      </c>
      <c r="AV175" s="63" t="s">
        <v>5150</v>
      </c>
    </row>
    <row r="176" spans="1:48">
      <c r="A176" s="64"/>
      <c r="B176" s="64"/>
      <c r="C176" s="64"/>
      <c r="D176" s="64"/>
      <c r="E176" s="64"/>
      <c r="F176" s="64"/>
      <c r="G176" s="65"/>
      <c r="H176" s="65"/>
      <c r="I176" s="65"/>
      <c r="J176" s="65"/>
      <c r="K176" s="65"/>
      <c r="L176" s="65"/>
      <c r="M176" s="65"/>
      <c r="N176" s="65"/>
      <c r="O176" s="65"/>
      <c r="P176" s="65"/>
      <c r="Q176" s="65"/>
      <c r="R176" s="65"/>
      <c r="S176" s="65"/>
      <c r="T176" s="65"/>
      <c r="U176" s="65"/>
      <c r="V176" s="65"/>
      <c r="W176" s="65"/>
      <c r="X176" s="65"/>
      <c r="Y176" s="65"/>
      <c r="Z176" s="65"/>
      <c r="AA176" s="65"/>
      <c r="AB176" s="65"/>
      <c r="AC176" s="65"/>
      <c r="AD176" s="65"/>
      <c r="AE176" s="65"/>
      <c r="AF176" s="65"/>
      <c r="AG176" s="61" t="s">
        <v>5151</v>
      </c>
      <c r="AH176" s="62" t="s">
        <v>5152</v>
      </c>
      <c r="AI176" s="62" t="s">
        <v>5153</v>
      </c>
      <c r="AJ176" s="62" t="s">
        <v>5154</v>
      </c>
      <c r="AK176" s="62" t="s">
        <v>5155</v>
      </c>
      <c r="AL176" s="62" t="s">
        <v>5156</v>
      </c>
      <c r="AM176" s="62" t="s">
        <v>5157</v>
      </c>
      <c r="AN176" s="62" t="s">
        <v>5158</v>
      </c>
      <c r="AO176" s="62" t="s">
        <v>5159</v>
      </c>
      <c r="AP176" s="62" t="s">
        <v>5160</v>
      </c>
      <c r="AQ176" s="62" t="s">
        <v>5161</v>
      </c>
      <c r="AR176" s="62" t="s">
        <v>5162</v>
      </c>
      <c r="AS176" s="62" t="s">
        <v>5163</v>
      </c>
      <c r="AT176" s="62" t="s">
        <v>5164</v>
      </c>
      <c r="AU176" s="62" t="s">
        <v>5165</v>
      </c>
      <c r="AV176" s="63" t="s">
        <v>5166</v>
      </c>
    </row>
    <row r="177" spans="1:48">
      <c r="A177" s="64"/>
      <c r="B177" s="64"/>
      <c r="C177" s="64"/>
      <c r="D177" s="64"/>
      <c r="E177" s="64"/>
      <c r="F177" s="64"/>
      <c r="G177" s="65"/>
      <c r="H177" s="65"/>
      <c r="I177" s="65"/>
      <c r="J177" s="65"/>
      <c r="K177" s="65"/>
      <c r="L177" s="65"/>
      <c r="M177" s="65"/>
      <c r="N177" s="65"/>
      <c r="O177" s="65"/>
      <c r="P177" s="65"/>
      <c r="Q177" s="65"/>
      <c r="R177" s="65"/>
      <c r="S177" s="65"/>
      <c r="T177" s="65"/>
      <c r="U177" s="65"/>
      <c r="V177" s="65"/>
      <c r="W177" s="65"/>
      <c r="X177" s="65"/>
      <c r="Y177" s="65"/>
      <c r="Z177" s="65"/>
      <c r="AA177" s="65"/>
      <c r="AB177" s="65"/>
      <c r="AC177" s="65"/>
      <c r="AD177" s="65"/>
      <c r="AE177" s="65"/>
      <c r="AF177" s="65"/>
      <c r="AG177" s="66" t="s">
        <v>5167</v>
      </c>
      <c r="AH177" s="67" t="s">
        <v>5168</v>
      </c>
      <c r="AI177" s="67" t="s">
        <v>5169</v>
      </c>
      <c r="AJ177" s="67" t="s">
        <v>5170</v>
      </c>
      <c r="AK177" s="67" t="s">
        <v>5171</v>
      </c>
      <c r="AL177" s="67" t="s">
        <v>5172</v>
      </c>
      <c r="AM177" s="67" t="s">
        <v>5173</v>
      </c>
      <c r="AN177" s="67" t="s">
        <v>5174</v>
      </c>
      <c r="AO177" s="67" t="s">
        <v>5175</v>
      </c>
      <c r="AP177" s="67" t="s">
        <v>5176</v>
      </c>
      <c r="AQ177" s="67" t="s">
        <v>5177</v>
      </c>
      <c r="AR177" s="67" t="s">
        <v>5178</v>
      </c>
      <c r="AS177" s="67" t="s">
        <v>5179</v>
      </c>
      <c r="AT177" s="67" t="s">
        <v>5180</v>
      </c>
      <c r="AU177" s="67" t="s">
        <v>5181</v>
      </c>
      <c r="AV177" s="68"/>
    </row>
  </sheetData>
  <mergeCells count="52">
    <mergeCell ref="G35:AF38"/>
    <mergeCell ref="G39:AF40"/>
    <mergeCell ref="D40:F40"/>
    <mergeCell ref="G41:AF41"/>
    <mergeCell ref="G23:AF23"/>
    <mergeCell ref="G24:AF24"/>
    <mergeCell ref="G25:AF25"/>
    <mergeCell ref="G26:AF26"/>
    <mergeCell ref="G27:AF27"/>
    <mergeCell ref="G28:AF32"/>
    <mergeCell ref="G33:AF34"/>
    <mergeCell ref="G22:AF22"/>
    <mergeCell ref="A27:C27"/>
    <mergeCell ref="A28:C28"/>
    <mergeCell ref="A30:C30"/>
    <mergeCell ref="A31:C31"/>
    <mergeCell ref="A20:C20"/>
    <mergeCell ref="D20:F20"/>
    <mergeCell ref="G20:AF20"/>
    <mergeCell ref="A21:C21"/>
    <mergeCell ref="D21:F21"/>
    <mergeCell ref="G21:AF21"/>
    <mergeCell ref="A1:P1"/>
    <mergeCell ref="Q1:AF1"/>
    <mergeCell ref="AG1:AV1"/>
    <mergeCell ref="A18:AF18"/>
    <mergeCell ref="A19:C19"/>
    <mergeCell ref="D19:F19"/>
    <mergeCell ref="G19:AF19"/>
    <mergeCell ref="A22:F22"/>
    <mergeCell ref="A23:F23"/>
    <mergeCell ref="A24:F24"/>
    <mergeCell ref="A25:F25"/>
    <mergeCell ref="D26:F26"/>
    <mergeCell ref="D41:F41"/>
    <mergeCell ref="A36:C36"/>
    <mergeCell ref="A37:C37"/>
    <mergeCell ref="A38:C38"/>
    <mergeCell ref="A39:C39"/>
    <mergeCell ref="A41:C41"/>
    <mergeCell ref="A40:C40"/>
    <mergeCell ref="A26:C26"/>
    <mergeCell ref="A29:C29"/>
    <mergeCell ref="D28:F32"/>
    <mergeCell ref="D35:F38"/>
    <mergeCell ref="D39:F39"/>
    <mergeCell ref="D27:F27"/>
    <mergeCell ref="A35:C35"/>
    <mergeCell ref="A32:C32"/>
    <mergeCell ref="A33:C33"/>
    <mergeCell ref="D33:F34"/>
    <mergeCell ref="A34:C3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J9"/>
  <sheetViews>
    <sheetView workbookViewId="0"/>
  </sheetViews>
  <sheetFormatPr baseColWidth="10" defaultColWidth="12.5703125" defaultRowHeight="15.75" customHeight="1"/>
  <cols>
    <col min="1" max="1" width="13.85546875" customWidth="1"/>
  </cols>
  <sheetData>
    <row r="1" spans="1:10">
      <c r="A1" s="69" t="s">
        <v>22</v>
      </c>
      <c r="B1" s="70" t="s">
        <v>5182</v>
      </c>
      <c r="C1" s="70" t="s">
        <v>5183</v>
      </c>
      <c r="D1" s="70" t="s">
        <v>5184</v>
      </c>
      <c r="E1" s="70" t="s">
        <v>5185</v>
      </c>
      <c r="F1" s="70" t="s">
        <v>5186</v>
      </c>
      <c r="G1" s="70" t="s">
        <v>5187</v>
      </c>
      <c r="H1" s="70" t="s">
        <v>5188</v>
      </c>
      <c r="I1" s="70" t="s">
        <v>5189</v>
      </c>
      <c r="J1" s="70" t="s">
        <v>5190</v>
      </c>
    </row>
    <row r="2" spans="1:10">
      <c r="A2" s="71" t="s">
        <v>38</v>
      </c>
      <c r="B2" s="72">
        <v>2</v>
      </c>
      <c r="C2" s="72">
        <v>224</v>
      </c>
      <c r="D2" s="72">
        <v>-1</v>
      </c>
      <c r="E2" s="72">
        <v>1</v>
      </c>
      <c r="F2" s="72">
        <v>1</v>
      </c>
      <c r="G2" s="72">
        <v>0</v>
      </c>
      <c r="H2" s="72">
        <v>1</v>
      </c>
      <c r="I2" s="72">
        <v>0</v>
      </c>
      <c r="J2" s="72">
        <v>14</v>
      </c>
    </row>
    <row r="3" spans="1:10">
      <c r="A3" s="71" t="s">
        <v>291</v>
      </c>
      <c r="B3" s="72">
        <v>2</v>
      </c>
      <c r="C3" s="72">
        <v>208</v>
      </c>
      <c r="D3" s="72">
        <v>-1</v>
      </c>
      <c r="E3" s="72">
        <v>1</v>
      </c>
      <c r="F3" s="72">
        <v>1</v>
      </c>
      <c r="G3" s="72">
        <v>0</v>
      </c>
      <c r="H3" s="72">
        <v>-1</v>
      </c>
      <c r="I3" s="72">
        <v>0</v>
      </c>
      <c r="J3" s="72">
        <v>0</v>
      </c>
    </row>
    <row r="4" spans="1:10">
      <c r="A4" s="71" t="s">
        <v>498</v>
      </c>
      <c r="B4" s="72">
        <v>1</v>
      </c>
      <c r="C4" s="72">
        <v>240</v>
      </c>
      <c r="D4" s="72">
        <v>-1</v>
      </c>
      <c r="E4" s="72">
        <v>0</v>
      </c>
      <c r="F4" s="72">
        <v>0</v>
      </c>
      <c r="G4" s="72">
        <v>0</v>
      </c>
      <c r="H4" s="72">
        <v>-1</v>
      </c>
      <c r="I4" s="72">
        <v>0</v>
      </c>
      <c r="J4" s="72">
        <v>0</v>
      </c>
    </row>
    <row r="5" spans="1:10">
      <c r="A5" s="71" t="s">
        <v>480</v>
      </c>
      <c r="B5" s="72">
        <v>1</v>
      </c>
      <c r="C5" s="72">
        <v>160</v>
      </c>
      <c r="D5" s="72">
        <v>8</v>
      </c>
      <c r="E5" s="72">
        <v>0</v>
      </c>
      <c r="F5" s="72">
        <v>0</v>
      </c>
      <c r="G5" s="72">
        <v>0</v>
      </c>
      <c r="H5" s="72">
        <v>-1</v>
      </c>
      <c r="I5" s="72">
        <v>0</v>
      </c>
      <c r="J5" s="72">
        <v>0</v>
      </c>
    </row>
    <row r="6" spans="1:10">
      <c r="A6" s="71" t="s">
        <v>679</v>
      </c>
      <c r="B6" s="72">
        <v>10</v>
      </c>
      <c r="C6" s="72">
        <v>224</v>
      </c>
      <c r="D6" s="72">
        <v>-1</v>
      </c>
      <c r="E6" s="72">
        <v>0</v>
      </c>
      <c r="F6" s="72">
        <v>0</v>
      </c>
      <c r="G6" s="72">
        <v>1</v>
      </c>
      <c r="H6" s="72">
        <v>-1</v>
      </c>
      <c r="I6" s="72">
        <v>0</v>
      </c>
      <c r="J6" s="72">
        <v>-1</v>
      </c>
    </row>
    <row r="7" spans="1:10">
      <c r="A7" s="71" t="s">
        <v>695</v>
      </c>
      <c r="B7" s="72">
        <v>8</v>
      </c>
      <c r="C7" s="72">
        <v>208</v>
      </c>
      <c r="D7" s="72">
        <v>-1</v>
      </c>
      <c r="E7" s="72">
        <v>0</v>
      </c>
      <c r="F7" s="72">
        <v>0</v>
      </c>
      <c r="G7" s="72">
        <v>1</v>
      </c>
      <c r="H7" s="72">
        <v>0</v>
      </c>
      <c r="I7" s="72">
        <v>1</v>
      </c>
      <c r="J7" s="72">
        <v>1</v>
      </c>
    </row>
    <row r="8" spans="1:10">
      <c r="A8" s="71" t="s">
        <v>703</v>
      </c>
      <c r="B8" s="72">
        <v>6</v>
      </c>
      <c r="C8" s="72">
        <v>154</v>
      </c>
      <c r="D8" s="72">
        <v>-1</v>
      </c>
      <c r="E8" s="72">
        <v>0</v>
      </c>
      <c r="F8" s="72">
        <v>0</v>
      </c>
      <c r="G8" s="72">
        <v>1</v>
      </c>
      <c r="H8" s="72">
        <v>0</v>
      </c>
      <c r="I8" s="72">
        <v>4</v>
      </c>
      <c r="J8" s="72">
        <v>1</v>
      </c>
    </row>
    <row r="9" spans="1:10">
      <c r="A9" s="71" t="s">
        <v>752</v>
      </c>
      <c r="B9" s="72">
        <v>4</v>
      </c>
      <c r="C9" s="72">
        <v>154</v>
      </c>
      <c r="D9" s="72">
        <v>-1</v>
      </c>
      <c r="E9" s="72">
        <v>0</v>
      </c>
      <c r="F9" s="72">
        <v>0</v>
      </c>
      <c r="G9" s="72">
        <v>1</v>
      </c>
      <c r="H9" s="72">
        <v>0</v>
      </c>
      <c r="I9" s="72">
        <v>4</v>
      </c>
      <c r="J9" s="72">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Notes</vt:lpstr>
      <vt:lpstr>Translations</vt:lpstr>
      <vt:lpstr>Character Arrays</vt:lpstr>
      <vt:lpstr>Box Types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Adrien GRIVEL</cp:lastModifiedBy>
  <dcterms:modified xsi:type="dcterms:W3CDTF">2026-06-25T01:37:59Z</dcterms:modified>
</cp:coreProperties>
</file>